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Description" sheetId="1" r:id="rId5"/>
    <sheet state="visible" name="Syllabus" sheetId="2" r:id="rId6"/>
    <sheet state="visible" name="Session Plan" sheetId="3" r:id="rId7"/>
    <sheet state="visible" name="Assignment" sheetId="4" r:id="rId8"/>
    <sheet state="visible" name="Certificate" sheetId="5" r:id="rId9"/>
  </sheets>
  <definedNames/>
  <calcPr/>
</workbook>
</file>

<file path=xl/sharedStrings.xml><?xml version="1.0" encoding="utf-8"?>
<sst xmlns="http://schemas.openxmlformats.org/spreadsheetml/2006/main" count="384" uniqueCount="251">
  <si>
    <t>Semester</t>
  </si>
  <si>
    <t>V</t>
  </si>
  <si>
    <t>Course Code:</t>
  </si>
  <si>
    <t>Course Title:</t>
  </si>
  <si>
    <t>LLMs, RAG &amp; Agentic AI</t>
  </si>
  <si>
    <t>Theory</t>
  </si>
  <si>
    <t>Practical</t>
  </si>
  <si>
    <t>Guided</t>
  </si>
  <si>
    <t>Total Hours</t>
  </si>
  <si>
    <t>Credit</t>
  </si>
  <si>
    <t>Course Type:</t>
  </si>
  <si>
    <t>Skill Development</t>
  </si>
  <si>
    <t>Discipline Specific Course (DSC)</t>
  </si>
  <si>
    <t>Course Description:</t>
  </si>
  <si>
    <t>This course introduces students to the foundations of Generative AI and Large Language Models (LLMs), focusing on how modern transformer-based systems can understand, retrieve, and generate information. It emphasizes conceptual clarity around tokenization, embeddings, attention, and the distinction between proprietary and open-source models, while also developing practical skills in prompt engineering and API integration. Beginning with core concepts of LLMs and prompt design, students gradually progress to building Retrieval-Augmented Generation (RAG) pipelines, working with vector databases, and designing agentic AI workflows that use tools, memory, and planning. The course further develops competence in deploying LLM-powered applications using web frameworks and containerization, alongside responsible AI practices around safety, privacy, and governance. By the end, learners will be capable of designing, implementing, and evaluating end-to-end AI systems that combine LLMs, retrieval, and agents for real-world applications.</t>
  </si>
  <si>
    <t>Course Objective:</t>
  </si>
  <si>
    <t>The primary objectives of this course are to develop a comprehensive understanding of Generative AI, transformer-based Large Language Models, and their practical application in building intelligent systems. It aims to enable students to design effective prompts, integrate LLM APIs with appropriate sampling parameters, and construct robust RAG pipelines using embeddings, chunking strategies, and vector databases for reliable information retrieval. The course encourages analytical thinking through the evaluation of agentic AI architectures, including tool/function calling, memory mechanisms, planning strategies, and multi-agent coordination patterns. Students will also learn to design and deploy secure, observable, and scalable AI applications using frameworks such as FastAPI, Streamlit/Gradio, and Docker, while incorporating guardrails and ethical safeguards. Ultimately, the course equips learners with the applied AI engineering competence required to build, assess, and responsibly adopt LLM-, RAG-, and agent-based solutions in academic and industry contexts.</t>
  </si>
  <si>
    <t>Course Outcomes</t>
  </si>
  <si>
    <t>Description</t>
  </si>
  <si>
    <t>Cognition</t>
  </si>
  <si>
    <t>Hours</t>
  </si>
  <si>
    <t>Evaluation</t>
  </si>
  <si>
    <t>Tools</t>
  </si>
  <si>
    <t>Understand the fundamental concepts of Generative AI, Transformer architecture (tokenization, embeddings, attention), and the distinction between proprietary and open-source Large Language Models</t>
  </si>
  <si>
    <t>L2: Understand</t>
  </si>
  <si>
    <t>Continuous  
Assignment</t>
  </si>
  <si>
    <t>Apply prompt engineering techniques (zero-shot, few-shot, chain-of-thought) and integrate LLM APIs with appropriate sampling parameters to build functional conversational applications</t>
  </si>
  <si>
    <t>L3: Apply</t>
  </si>
  <si>
    <t>Analyze data retrieval requirements and construct end-to-end Retrieval-Augmented Generation pipelines involving embeddings, chunking, vector databases, retrieval, and reranking, while evaluating output faithfulness</t>
  </si>
  <si>
    <t>L4: Analyze</t>
  </si>
  <si>
    <t>Continuous  
Test</t>
  </si>
  <si>
    <t>Evaluate agentic AI architectures involving tool/function calling, memory systems, planning strategies, multi-agent coordination, and Model Context Protocol (MCP)-based integrations, judging their suitability for a given task</t>
  </si>
  <si>
    <t>L5: Evaluate</t>
  </si>
  <si>
    <t xml:space="preserve">Continuous  
Project </t>
  </si>
  <si>
    <t>Design and deploy secure, production-ready AI applications using FastAPI, Streamlit/Gradio, Docker, and CI/CD workflows, incorporating guardrails and observability mechanisms</t>
  </si>
  <si>
    <t>L6: Create</t>
  </si>
  <si>
    <t>Critically evaluate AI ethics, security, privacy, and governance principles, and appraise emerging trends (on-device LLMs, RAG-agent integration, MCP ecosystems) for responsible AI adoption</t>
  </si>
  <si>
    <t>Continuous  
Case Study</t>
  </si>
  <si>
    <t>Course Title</t>
  </si>
  <si>
    <t>Learning Objectives</t>
  </si>
  <si>
    <t>CO Mapping</t>
  </si>
  <si>
    <t>L/T/P</t>
  </si>
  <si>
    <t>Details of Course</t>
  </si>
  <si>
    <t>Prescribed Texts</t>
  </si>
  <si>
    <t>Online References</t>
  </si>
  <si>
    <t>Chapter/Unit No</t>
  </si>
  <si>
    <t>Chapter/Unit Name</t>
  </si>
  <si>
    <t>Sub Topics</t>
  </si>
  <si>
    <t>Understand the fundamental concepts of Generative AI, Transformer architecture, and Large Language Models</t>
  </si>
  <si>
    <t>CO1</t>
  </si>
  <si>
    <t xml:space="preserve"> Foundations of Generative AI and Large Language Models</t>
  </si>
  <si>
    <t>Generative AI: Concepts, Scope, and Foundation Models</t>
  </si>
  <si>
    <t>What is Generative AI? (GeeksforGeeks)</t>
  </si>
  <si>
    <t>Transformer Architecture: Tokenization, Embeddings, and Attention Mechanism</t>
  </si>
  <si>
    <t>Attention Is All You Need (Explained) (Jay Alammar / The Illustrated Transformer)</t>
  </si>
  <si>
    <t>Proprietary and Open-Source Language Models: A Comparative Study</t>
  </si>
  <si>
    <t>Model Access Paradigms: Cloud-Hosted APIs and Local Deployment (Ollama, Hugging Face)</t>
  </si>
  <si>
    <t>Apply prompt engineering principles and LLM API integration to develop functional AI applications</t>
  </si>
  <si>
    <t>CO2</t>
  </si>
  <si>
    <t>Prompt Engineering and LLM API Integration</t>
  </si>
  <si>
    <t>Anatomy of a Prompt: System, User, and Assistant Roles; Context Window</t>
  </si>
  <si>
    <t>Prompt Engineering Guide (promptingguide.ai)</t>
  </si>
  <si>
    <t>Prompting Techniques: Zero-Shot, Few-Shot, Chain-of-Thought, and Structured Output Generation</t>
  </si>
  <si>
    <t>Introduction to Tool-Oriented and Function-Calling Prompts</t>
  </si>
  <si>
    <t>LLM API Fundamentals: Authentication, Rate Limits, and Sampling Parameters (Temperature, Top-p, Max Tokens)</t>
  </si>
  <si>
    <t>OpenAI API Documentation (OpenAI)</t>
  </si>
  <si>
    <t>Practical Exercise: Development of a Conversational Chatbot using LLM API and Web Interface</t>
  </si>
  <si>
    <t>Analyze information retrieval requirements and design end-to-end Retrieval-Augmented Generation pipelines</t>
  </si>
  <si>
    <t>CO3</t>
  </si>
  <si>
    <t xml:space="preserve"> Retrieval-Augmented Generation, Embeddings, and Evaluation</t>
  </si>
  <si>
    <t>Retrieval-Augmented Generation: Architecture and Workflow (Ingestion, Indexing, Retrieval, Generation)</t>
  </si>
  <si>
    <t>What is Retrieval Augmented Generation (RAG)? (Pinecone)</t>
  </si>
  <si>
    <t>Embeddings: Vector Representation of Text and Similarity Measures</t>
  </si>
  <si>
    <t>LlamaIndex Documentation</t>
  </si>
  <si>
    <t>Document Chunking Strategies: Fixed-Length, Semantic, and Hierarchical Approaches</t>
  </si>
  <si>
    <t>Vector Database Systems: ChromaDB, FAISS, and Pinecone</t>
  </si>
  <si>
    <t>Information Retrieval Techniques: Hybrid Search, Top-k Retrieval, and Maximal Marginal Relevance</t>
  </si>
  <si>
    <t>Reranking Methods: Cross-Encoder and LLM-Based Reranking</t>
  </si>
  <si>
    <t>Evaluation of RAG Systems: Faithfulness, Hallucination Rate, and Latency Metrics</t>
  </si>
  <si>
    <t>Evaluate and design agentic AI systems incorporating tool use, memory, planning, and multi-agent coordination</t>
  </si>
  <si>
    <t>CO4</t>
  </si>
  <si>
    <t>Agentic AI, Tool Integration, and Multi-Agent Systems</t>
  </si>
  <si>
    <t>AI Agents: Definition, Autonomy, and Agentic Control Loops</t>
  </si>
  <si>
    <t>LangGraph: Multi-Agent Workflows (LangChain Blog)</t>
  </si>
  <si>
    <t>Tool Calling and Function Calling: Schema Design and Error Handling</t>
  </si>
  <si>
    <t>Memory Architectures in AI Agents: Short-Term, Long-Term, Episodic, and Semantic Memory</t>
  </si>
  <si>
    <t>Planning in AI Agents: Task Decomposition, Planner-Executor Pattern, and Self-Reflection</t>
  </si>
  <si>
    <t>Multi-Agent Systems: Agent Roles and Coordination Strategies</t>
  </si>
  <si>
    <t>Model Context Protocol (MCP): Standardized Framework for Tool and Data Access</t>
  </si>
  <si>
    <t>Introducing the Model Context Protocol (Anthropic)</t>
  </si>
  <si>
    <t>Design and deploy secure, ethically compliant AI applications following responsible AI principles</t>
  </si>
  <si>
    <t>CO5, CO6</t>
  </si>
  <si>
    <t>AI Application Deployment, Governance, and Responsible AI</t>
  </si>
  <si>
    <t>AI Application Design Patterns: Conversational Agents, Support Systems, and Research Assistants</t>
  </si>
  <si>
    <t>Best Multi-Agent Frameworks 2026 (FutureAGI)</t>
  </si>
  <si>
    <t>AI Guardrails: Content Filtering, Safety Checks, and Adversarial Prompt Mitigation</t>
  </si>
  <si>
    <t>AI System Observability: Logging, Latency Monitoring, and Prompt Version Control</t>
  </si>
  <si>
    <t>Deployment Architecture: FastAPI, Streamlit/Gradio, Docker, and Continuous Integration</t>
  </si>
  <si>
    <t>AI Ethics, Security, and Privacy: Data Governance, Personal Data Protection, and Algorithmic Bias</t>
  </si>
  <si>
    <t>Emerging Trends in AI: On-Device Language Models, RAG-Agent Integration, and MCP Ecosystems</t>
  </si>
  <si>
    <t>Model Context Protocol (MCP) 2026 Guide (FutureAGI)</t>
  </si>
  <si>
    <t>Assignment</t>
  </si>
  <si>
    <t>Topics</t>
  </si>
  <si>
    <t>Teaching Pedagogy</t>
  </si>
  <si>
    <t>Unit I: Foundations of Generative AI and Large Language Models</t>
  </si>
  <si>
    <t>Introduce Generative AI by having students list familiar AI use cases (chatbots, image generators) and classify which are generative vs traditional ML, then walk through how foundation models are trained and used in practice.</t>
  </si>
  <si>
    <t>Concept Mapping: Create a one-page concept map that contrasts traditional ML with Generative AI and Large Language Models. Use a concrete example (e.g., FAQ chatbot vs LLM assistant) to highlight differences in data requirements, capabilities, and limitations.</t>
  </si>
  <si>
    <t>Walk through the transformer pipeline step-by-step using simple sentences, visualizing tokenization, embeddings, and attention with diagrams and an interactive demo from an LLM playground.</t>
  </si>
  <si>
    <t>Short Reflective Essay: Write a 500-word reflection explaining tokenization and embeddings, using an analogy from daily life (e.g., words as ingredients, embeddings as flavor profiles). Include how these concepts impact retrieval and generation quality.</t>
  </si>
  <si>
    <t>Facilitate a guided comparison where students investigate documentation pages of proprietary (e.g., OpenAI, Gemini) and open-source (e.g., LLaMA, Mistral) models in small groups and summarize trade-offs on cost, control, and deployment.</t>
  </si>
  <si>
    <t>Demonstrate both cloud-hosted and local model access by showing API calls in a notebook and a local run via Ollama, then have students map when each paradigm is suitable for different constraints.</t>
  </si>
  <si>
    <t>Unit II: Prompt Engineering and LLM API Integration</t>
  </si>
  <si>
    <t>Use live demos in an LLM playground to rewrite the same task with different system and user instructions, highlighting how role separation and context window size affect behavior and memory.</t>
  </si>
  <si>
    <t>Prompt Design Portfolio: Create at least 6 prompts (2 per role) showcasing zero-shot, few-shot, and chain-of-thought patterns. For each, show the system prompt, user prompt, and at least one sample response with brief commentary on why the prompt works.</t>
  </si>
  <si>
    <t>Run interactive exercises where students iteratively refine prompts from zero-shot to few-shot to chain-of-thought, and finally request structured JSON, comparing outputs for the same task.</t>
  </si>
  <si>
    <t>API Integration Task: Implement a Python script that takes text input, calls an LLM API (OpenAI/Gemini or local via Ollama), and prints a concise bullet-point summary. Include configuration via environment variables for API keys and parameters.</t>
  </si>
  <si>
    <t>Show examples of tool/function calling payloads and role-play “LLM as coordinator” in class, having students decide when to call which tool given a natural language request.</t>
  </si>
  <si>
    <t>Prompt Robustness Study: Choose a fixed task (e.g., explanation of binary search) and systematically vary temperature/top-p. Collect outputs in a table and write a 700-word analysis of how style, coherence, and variability change.</t>
  </si>
  <si>
    <t>Walk through a simple Python notebook calling an LLM API, then have students experiment with temperature and top-p settings and observe changes in determinism and creativity.</t>
  </si>
  <si>
    <t>Guide students step-by-step to build a minimal conversational chatbot in Python using Streamlit or Gradio, wiring it to an LLM API and iteratively improving prompts.</t>
  </si>
  <si>
    <t>Unit III: Retrieval-Augmented Generation, Embeddings, and Evaluation</t>
  </si>
  <si>
    <t>Use a block-diagram walkthrough to explain each RAG stage, then have students collaboratively sketch an architecture for a “Department Handbook Assistant” on the whiteboard.</t>
  </si>
  <si>
    <t>RAG Design Document: Draw and explain an architecture showing data ingestion, chunking, embeddings, vector store, retrieval, reranking, and answer generation. Specify tools (e.g., LangChain/LlamaIndex, ChromaDB/FAISS) and justify design choices.</t>
  </si>
  <si>
    <t>Demonstrate embeddings by projecting example sentences into 2D (using a notebook) and visually clustering similar meanings, then relate cosine similarity to “angle between meanings”.</t>
  </si>
  <si>
    <t>Implementation Assignment: Build a Python app that ingests at least one multi-page PDF, chunks it, stores embeddings in a vector DB, and answers user questions via a simple CLI or web UI. Include basic logging of queries and answers.</t>
  </si>
  <si>
    <t>Present a long sample document and have students experiment with different chunking strategies, discussing trade-offs for context, overlap, and retrieval quality.</t>
  </si>
  <si>
    <t>RAG Evaluation Task: Prepare at least 15 domain-specific questions, run them on both “LLM-only” and your RAG system, and manually rate answers for correctness and faithfulness. Summarize results in charts and a short report.</t>
  </si>
  <si>
    <t>Compare vector databases conceptually by showing their APIs and deployment models, then run a simple similarity search demo using one local and one managed option.</t>
  </si>
  <si>
    <t>Use visual examples to show dense vs keyword vs hybrid search results for the same query and discuss when diversity (MMR) is helpful for reducing redundancy.</t>
  </si>
  <si>
    <t>Explain reranking by walking through an example where initial retrieved passages are reordered by a stronger model, then analyze before/after answer quality.</t>
  </si>
  <si>
    <t>Run a live demo where the RAG system occasionally hallucinates, then have students label outputs for faithfulness and discuss metrics and trade-offs with latency.</t>
  </si>
  <si>
    <t>Unit IV: Agentic AI, Tool Integration, and Multi-Agent Systems</t>
  </si>
  <si>
    <t>Introduce AI agents by contrasting simple chat completion with loop-based agent execution, drawing a control loop diagram and walking through an example task.</t>
  </si>
  <si>
    <t>Tool Schema Design: Specify JSON schemas (parameters, types, descriptions, constraints) for each tool so that an LLM can call them reliably. Include 3 example prompts and expected tool call JSON for each.</t>
  </si>
  <si>
    <t>Show real logs of successful and failed tool calls and have students identify schema/design issues and propose better parameter descriptions and validation.</t>
  </si>
  <si>
    <t>Single-Agent Tool-Using Demo: Using LangChain/LangGraph or similar, implement an agent with at least two tools: a search-like tool (real or stubbed) and a RAG tool over a small document set. Demonstrate multi-step reasoning for 5 queries.</t>
  </si>
  <si>
    <t>Use a whiteboard analogy to map human memory types to concrete agent memory stores (conversation buffer, vector store, logs), then examine how memory impacts behavior.</t>
  </si>
  <si>
    <t>Multi-Agent Workflow Design: Define roles (e.g., Researcher, Summarizer, Critic), responsibilities, communication protocol, and failure-handling strategy. Represent the workflow as a sequence diagram with narrative explanation.</t>
  </si>
  <si>
    <t>Demonstrate a planner-executor agent run and annotate each step, then have students manually decompose a complex task into subtasks and critique the plan.</t>
  </si>
  <si>
    <t>Organize a classroom role-play where students act as different agents (Researcher, Summarizer, Critic) passing messages to solve a task, then map this to a multi-agent graph.</t>
  </si>
  <si>
    <t>Explain MCP concepts via an architecture diagram showing models, tools, and data services connected through a common protocol, then discuss interoperability benefits.</t>
  </si>
  <si>
    <t>Unit V: AI Application Deployment, Governance, and Responsible AI</t>
  </si>
  <si>
    <t>Present several real-world LLM app case studies and have students identify the underlying design pattern and key components (front-end, LLM, tools, storage).</t>
  </si>
  <si>
    <t>Deployment Plan: Describe target environment (server/on-prem/cloud), API gateway, authentication, logging, metrics, alerting, and versioning strategy for prompts and models. Include a simple CI/CD outline using GitHub.</t>
  </si>
  <si>
    <t>Demonstrate prompt injection and unsafe outputs in a controlled setting, then layer content filters, policies, and system prompts to mitigate them and discuss remaining risks.</t>
  </si>
  <si>
    <t>Containerization &amp; API Assignment: Expose a /generate endpoint that calls an LLM (hosted or local), package the app in a Docker image, and provide steps to run it locally. Include basic request validation and error responses.</t>
  </si>
  <si>
    <t>Show observability dashboards and log samples from an LLM app, then have students identify what should be monitored for reliability, cost, and safety.</t>
  </si>
  <si>
    <t>Ethics &amp; Safety Case Study: Given a short case describing potential misuse in an educational or enterprise setting, write a 1500-word analysis covering risks, stakeholders, mitigation strategies (prompting, filters, access control), and monitoring.</t>
  </si>
  <si>
    <t>Live-code a small FastAPI or Streamlit endpoint backed by an LLM, then containerize it with Docker and explain how CI/CD would automate builds and deployment.</t>
  </si>
  <si>
    <t>Policy Brief on Emerging Trends: Summarize key trends (on-device LLMs, RAG+agents, MCP ecosystem), opportunities, risks, and recommended guidelines for student/faculty use in 2–3 pages targeted at HOD/principal.</t>
  </si>
  <si>
    <t>Use real or hypothetical case studies to debate ethical failures, then map each scenario to concrete governance measures like data policies, audits, and consent mechanisms.</t>
  </si>
  <si>
    <t>Facilitate a trends discussion where students research and present short spotlights on on-device LLMs, advanced RAG+agents, and MCP ecosystems, then synthesize implications for education and industry.</t>
  </si>
  <si>
    <t>S.No</t>
  </si>
  <si>
    <t xml:space="preserve">Hours </t>
  </si>
  <si>
    <t>CO</t>
  </si>
  <si>
    <t>Assignment Type</t>
  </si>
  <si>
    <t>Assignment Questions</t>
  </si>
  <si>
    <t>Assignment Description in depth</t>
  </si>
  <si>
    <t>How the assignments will be graded</t>
  </si>
  <si>
    <t>Deliverables</t>
  </si>
  <si>
    <t>Concept Mapping</t>
  </si>
  <si>
    <t>Explain how Generative AI differs from traditional rule-based and supervised ML systems using a real-world example.</t>
  </si>
  <si>
    <t>Create a one-page concept map that contrasts traditional ML with Generative AI and Large Language Models. Use a concrete example (e.g., FAQ chatbot vs LLM assistant) to highlight differences in data requirements, capabilities, and limitations.</t>
  </si>
  <si>
    <t>Clarity and correctness of concepts (40%), quality of comparison and examples (40%), presentation and structure (20%).</t>
  </si>
  <si>
    <t>PDF/image of concept map with short written explanation.</t>
  </si>
  <si>
    <t>Short Reflective Essay</t>
  </si>
  <si>
    <t>Describe the role of tokenization and embeddings in LLMs in your own words with a simple analogy.</t>
  </si>
  <si>
    <t>Write a 500-word reflection explaining tokenization and embeddings, using an analogy from daily life (e.g., words as ingredients, embeddings as flavor profiles). Include how these concepts impact retrieval and generation quality.</t>
  </si>
  <si>
    <t>Technical correctness (40%), originality of analogy (30%), clarity and coherence of writing (30%).</t>
  </si>
  <si>
    <t>Written essay (PDF/Doc) submitted via LMS.</t>
  </si>
  <si>
    <t>Prompt Design Portfolio</t>
  </si>
  <si>
    <t>Design prompts that transform a generic model into three different specialized assistants (e.g., teacher, recruiter, customer support agent).</t>
  </si>
  <si>
    <t>Create at least 6 prompts (2 per role) showcasing zero-shot, few-shot, and chain-of-thought patterns. For each, show the system prompt, user prompt, and at least one sample response with brief commentary on why the prompt works.</t>
  </si>
  <si>
    <t>Appropriate use of prompt patterns (40%), alignment of outputs with role (40%), documentation/commentary quality (20%).</t>
  </si>
  <si>
    <t>Prompt portfolio document with screenshots or logs of model outputs.</t>
  </si>
  <si>
    <t>API Integration Task</t>
  </si>
  <si>
    <t>Build a small CLI tool that queries an LLM API to summarize a given paragraph into bullet points.</t>
  </si>
  <si>
    <t>Implement a Python script that takes text input, calls an LLM API (OpenAI/Gemini or local via Ollama), and prints a concise bullet-point summary. Include configuration via environment variables for API keys and parameters.</t>
  </si>
  <si>
    <t>Correct API usage and error handling (40%), quality of summaries (30%), code readability and documentation (30%).</t>
  </si>
  <si>
    <t>GitHub repository link with code, README, and sample terminal screenshots.</t>
  </si>
  <si>
    <t>Prompt Robustness Study</t>
  </si>
  <si>
    <t>Evaluate how temperature and top-p influence the determinism and creativity of LLM outputs for the same task.</t>
  </si>
  <si>
    <t>Choose a fixed task (e.g., explanation of binary search) and systematically vary temperature/top-p. Collect outputs in a table and write a 700-word analysis of how style, coherence, and variability change.</t>
  </si>
  <si>
    <t>Experimental design and data collection (30%), depth of analysis and insight (40%), organization and formatting (30%).</t>
  </si>
  <si>
    <t>Report (PDF/Doc) with table of outputs and analysis.</t>
  </si>
  <si>
    <t>RAG Design Document</t>
  </si>
  <si>
    <t>Design an end-to-end RAG pipeline for a “Department Handbook Assistant” for your college.</t>
  </si>
  <si>
    <t>Draw and explain an architecture showing data ingestion, chunking, embeddings, vector store, retrieval, reranking, and answer generation. Specify tools (e.g., LangChain/LlamaIndex, ChromaDB/FAISS) and justify design choices.</t>
  </si>
  <si>
    <t>Completeness of pipeline components (40%), justification of design decisions (40%), clarity of diagrams and explanation (20%).</t>
  </si>
  <si>
    <t>Architecture diagram plus 2–3 page design document.</t>
  </si>
  <si>
    <t>Implementation Assignment</t>
  </si>
  <si>
    <t>Implement a basic RAG-based PDF Question Answering system using LangChain or LlamaIndex.</t>
  </si>
  <si>
    <t>Build a Python app that ingests at least one multi-page PDF, chunks it, stores embeddings in a vector DB, and answers user questions via a simple CLI or web UI. Include basic logging of queries and answers.</t>
  </si>
  <si>
    <t>Correct functioning of RAG flow (ingest → index → retrieve → answer) (50%), code quality and structure (30%), documentation and usage instructions (20%).</t>
  </si>
  <si>
    <t>GitHub repository link, demo screenshots, and short usage guide.</t>
  </si>
  <si>
    <t>RAG Evaluation Task</t>
  </si>
  <si>
    <t>Measure and compare the quality of answers from a RAG system vs a pure LLM (no retrieval) on a fixed test set.</t>
  </si>
  <si>
    <t>Prepare at least 15 domain-specific questions, run them on both “LLM-only” and your RAG system, and manually rate answers for correctness and faithfulness. Summarize results in charts and a short report.</t>
  </si>
  <si>
    <t>Quality of evaluation methodology (40%), correctness of analysis/interpretation (40%), clarity of visualizations (20%).</t>
  </si>
  <si>
    <t>Evaluation dataset, spreadsheet of ratings, and PDF summary report.</t>
  </si>
  <si>
    <t>Tool Schema Design</t>
  </si>
  <si>
    <t>Design robust tool/function calling schemas for three tools: web_search, calculator, and calendar_lookup.</t>
  </si>
  <si>
    <t>Specify JSON schemas (parameters, types, descriptions, constraints) for each tool so that an LLM can call them reliably. Include 3 example prompts and expected tool call JSON for each.</t>
  </si>
  <si>
    <t>Correctness and completeness of schemas (50%), usability and clarity of descriptions (30%), quality of examples (20%).</t>
  </si>
  <si>
    <t>Design document with JSON schemas and example tool calls.</t>
  </si>
  <si>
    <t>Single-Agent Tool-Using Demo</t>
  </si>
  <si>
    <t>Build an AI agent that can answer questions using both web search (or mock search) and a local knowledge base via RAG.</t>
  </si>
  <si>
    <t>Using LangChain/LangGraph or similar, implement an agent with at least two tools: a search-like tool (real or stubbed) and a RAG tool over a small document set. Demonstrate multi-step reasoning for 5 queries.</t>
  </si>
  <si>
    <t>Successful tool integration and routing (50%), quality of reasoning traces (30%), documentation of setup and usage (20%).</t>
  </si>
  <si>
    <t>GitHub repository, sample conversation logs, and brief demo video (optional).</t>
  </si>
  <si>
    <t>Multi-Agent Workflow Design</t>
  </si>
  <si>
    <t>Design a multi-agent workflow for “AI Research Assistant” with at least three roles.</t>
  </si>
  <si>
    <t>Define roles (e.g., Researcher, Summarizer, Critic), responsibilities, communication protocol, and failure-handling strategy. Represent the workflow as a sequence diagram with narrative explanation.</t>
  </si>
  <si>
    <t>Clarity and feasibility of workflow (40%), depth of role definition and interactions (40%), quality of diagrams and narrative (20%).</t>
  </si>
  <si>
    <t>Diagram file plus 2–3 page explanatory document.</t>
  </si>
  <si>
    <t>CO5</t>
  </si>
  <si>
    <t>Deployment Plan</t>
  </si>
  <si>
    <t>Prepare a deployment and monitoring plan for turning a classroom prototype agent/RAG app into a production-ready service.</t>
  </si>
  <si>
    <t>Describe target environment (server/on-prem/cloud), API gateway, authentication, logging, metrics, alerting, and versioning strategy for prompts and models. Include a simple CI/CD outline using GitHub.</t>
  </si>
  <si>
    <t>Completeness and realism of deployment plan (40%), attention to reliability and monitoring (40%), clarity and structure (20%).</t>
  </si>
  <si>
    <t>Written deployment plan (PDF/Doc) with architecture sketch.</t>
  </si>
  <si>
    <t>Containerization &amp; API Assignment</t>
  </si>
  <si>
    <t>Containerize a simple LLM-powered API using FastAPI and Docker.</t>
  </si>
  <si>
    <t>Expose a /generate endpoint that calls an LLM (hosted or local), package the app in a Docker image, and provide steps to run it locally. Include basic request validation and error responses.</t>
  </si>
  <si>
    <t>Correct API behavior (40%), correct Dockerization and reproducible run instructions (40%), code quality and documentation (20%).</t>
  </si>
  <si>
    <t>Dockerfile, FastAPI code, GitHub repo link, and run instructions.</t>
  </si>
  <si>
    <t>CO6</t>
  </si>
  <si>
    <t>Ethics &amp; Safety Case Study</t>
  </si>
  <si>
    <t>Analyze an LLM misuse scenario (e.g., harmful content, data leakage) and propose concrete guardrails and policies.</t>
  </si>
  <si>
    <t>Given a short case describing potential misuse in an educational or enterprise setting, write a 1500-word analysis covering risks, stakeholders, mitigation strategies (prompting, filters, access control), and monitoring.</t>
  </si>
  <si>
    <t>Depth of ethical analysis (40%), practicality of mitigation strategies (40%), organization and academic writing quality (20%).</t>
  </si>
  <si>
    <t>Case study report (PDF/Doc) with references.</t>
  </si>
  <si>
    <t>Policy Brief on Emerging Trends</t>
  </si>
  <si>
    <t>Write a policy brief for your department on how to responsibly adopt agentic AI and RAG systems over the next 3 years.</t>
  </si>
  <si>
    <t>Summarize key trends (on-device LLMs, RAG+agents, MCP ecosystem), opportunities, risks, and recommended guidelines for student/faculty use in 2–3 pages targeted at HOD/principal.</t>
  </si>
  <si>
    <t>Accuracy and currency of trends (30%), quality of recommendations (40%), clarity and suitability for non-technical leadership (30%).</t>
  </si>
  <si>
    <t>Policy brief document ready to share with department leadership.</t>
  </si>
  <si>
    <t>Certificate Name</t>
  </si>
  <si>
    <t>Platform Name</t>
  </si>
  <si>
    <t>Total Hrs.</t>
  </si>
  <si>
    <t>Certification Link</t>
  </si>
  <si>
    <t>Gemini University Student Certification</t>
  </si>
  <si>
    <t>Google for Education</t>
  </si>
  <si>
    <t>1–2 Hrs (Exam only)</t>
  </si>
  <si>
    <t>Free, exam-only certification testing GenAI fundamentals, prompting, and responsible AI use with Google Gemini; instant PDF certificate on passing, no course purchase required.</t>
  </si>
  <si>
    <r>
      <rPr>
        <rFont val="Times New Roman"/>
        <color rgb="FF1155CC"/>
        <u/>
      </rPr>
      <t>https://educertifications.google/</t>
    </r>
  </si>
  <si>
    <t>Building AI Agents with RAG and LangChain (Certification)</t>
  </si>
  <si>
    <t>Coursera / Activeloop</t>
  </si>
  <si>
    <t>8 Hrs</t>
  </si>
  <si>
    <t>Project- and assessment-based certification covering RAG pipelines, embeddings, LangChain, and LlamaIndex, directly aligned with Unit III of the syllabus.</t>
  </si>
  <si>
    <t>https://www.coursera.org/learn/fundamentals-of-ai-agents-using-rag-and-langchain</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</si>
</sst>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0.0"/>
      <color theme="1"/>
      <name val="Times New Roman"/>
    </font>
    <font>
      <b/>
      <sz val="10.0"/>
      <color theme="1"/>
      <name val="Times New Roman"/>
    </font>
    <font/>
    <font>
      <b/>
      <i/>
      <sz val="10.0"/>
      <color theme="1"/>
      <name val="Times New Roman"/>
    </font>
    <font>
      <sz val="10.0"/>
      <color rgb="FF000000"/>
      <name val="Times New Roman"/>
    </font>
    <font>
      <b/>
      <sz val="10.0"/>
      <color rgb="FF000000"/>
      <name val="Times New Roman"/>
    </font>
    <font>
      <u/>
      <sz val="10.0"/>
      <color theme="1"/>
      <name val="Times New Roman"/>
    </font>
    <font>
      <u/>
      <sz val="10.0"/>
      <color theme="1"/>
      <name val="Times New Roman"/>
    </font>
    <font>
      <b/>
      <sz val="11.0"/>
      <color theme="1"/>
      <name val="Times New Roman"/>
    </font>
    <font>
      <color theme="1"/>
      <name val="Times New Roman"/>
    </font>
    <font>
      <u/>
      <sz val="10.0"/>
      <color rgb="FF1155CC"/>
      <name val="Times New Roman"/>
    </font>
    <font>
      <color theme="1"/>
      <name val="Arial"/>
    </font>
    <font>
      <b/>
      <color theme="1"/>
      <name val="Times New Roman"/>
    </font>
    <font>
      <u/>
      <color rgb="FF0000FF"/>
      <name val="Times New Roman"/>
    </font>
  </fonts>
  <fills count="9">
    <fill>
      <patternFill patternType="none"/>
    </fill>
    <fill>
      <patternFill patternType="lightGray"/>
    </fill>
    <fill>
      <patternFill patternType="solid">
        <fgColor rgb="FFFFFFFF"/>
        <bgColor rgb="FFFFFFFF"/>
      </patternFill>
    </fill>
    <fill>
      <patternFill patternType="solid">
        <fgColor rgb="FFD0D0D0"/>
        <bgColor rgb="FFD0D0D0"/>
      </patternFill>
    </fill>
    <fill>
      <patternFill patternType="solid">
        <fgColor rgb="FFBFBFBF"/>
        <bgColor rgb="FFBFBFBF"/>
      </patternFill>
    </fill>
    <fill>
      <patternFill patternType="solid">
        <fgColor rgb="FFB7B7B7"/>
        <bgColor rgb="FFB7B7B7"/>
      </patternFill>
    </fill>
    <fill>
      <patternFill patternType="solid">
        <fgColor rgb="FFD9D9D9"/>
        <bgColor rgb="FFD9D9D9"/>
      </patternFill>
    </fill>
    <fill>
      <patternFill patternType="solid">
        <fgColor rgb="FFE5E5E5"/>
        <bgColor rgb="FFE5E5E5"/>
      </patternFill>
    </fill>
    <fill>
      <patternFill patternType="solid">
        <fgColor rgb="FFF3F3F3"/>
        <bgColor rgb="FFF3F3F3"/>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1" fillId="0" fontId="2" numFmtId="0" xfId="0" applyAlignment="1" applyBorder="1" applyFont="1">
      <alignment horizontal="center" shrinkToFit="0" vertical="center" wrapText="1"/>
    </xf>
    <xf borderId="2" fillId="0" fontId="2" numFmtId="0" xfId="0" applyAlignment="1" applyBorder="1" applyFont="1">
      <alignment horizontal="center" readingOrder="0" shrinkToFit="0" vertical="center" wrapText="1"/>
    </xf>
    <xf borderId="3" fillId="0" fontId="3" numFmtId="0" xfId="0" applyBorder="1" applyFont="1"/>
    <xf borderId="4" fillId="0" fontId="3" numFmtId="0" xfId="0" applyBorder="1" applyFont="1"/>
    <xf borderId="2" fillId="0" fontId="1"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1" fillId="2" fontId="4" numFmtId="0" xfId="0" applyAlignment="1" applyBorder="1" applyFill="1" applyFont="1">
      <alignment horizontal="center" shrinkToFit="0" vertical="center" wrapText="1"/>
    </xf>
    <xf borderId="6" fillId="0" fontId="3" numFmtId="0" xfId="0" applyBorder="1" applyFont="1"/>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shrinkToFit="0" vertical="center" wrapText="1"/>
    </xf>
    <xf borderId="7" fillId="0" fontId="5" numFmtId="0" xfId="0" applyAlignment="1" applyBorder="1" applyFont="1">
      <alignment horizontal="left" readingOrder="0" shrinkToFit="0" wrapText="1"/>
    </xf>
    <xf borderId="7" fillId="0" fontId="3" numFmtId="0" xfId="0" applyBorder="1" applyFont="1"/>
    <xf borderId="8" fillId="0" fontId="3" numFmtId="0" xfId="0" applyBorder="1" applyFont="1"/>
    <xf borderId="7" fillId="0" fontId="6" numFmtId="0" xfId="0" applyAlignment="1" applyBorder="1" applyFont="1">
      <alignment horizontal="left" readingOrder="0" shrinkToFit="0" vertical="center" wrapText="1"/>
    </xf>
    <xf borderId="5" fillId="4" fontId="2" numFmtId="0" xfId="0" applyAlignment="1" applyBorder="1" applyFill="1" applyFont="1">
      <alignment horizontal="center" shrinkToFit="0" vertical="center" wrapText="1"/>
    </xf>
    <xf borderId="1" fillId="4" fontId="2" numFmtId="0" xfId="0" applyAlignment="1" applyBorder="1" applyFill="1" applyFont="1">
      <alignment horizontal="center" shrinkToFit="0" vertical="center" wrapText="1"/>
    </xf>
    <xf borderId="1" fillId="0" fontId="1" numFmtId="0" xfId="0" applyAlignment="1" applyBorder="1" applyFont="1">
      <alignment horizontal="center" readingOrder="0" shrinkToFit="0" vertical="center" wrapText="1"/>
    </xf>
    <xf borderId="5" fillId="0" fontId="7"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5" fillId="5" fontId="9" numFmtId="0" xfId="0" applyAlignment="1" applyBorder="1" applyFill="1" applyFont="1">
      <alignment horizontal="center" shrinkToFit="0" vertical="center" wrapText="1"/>
    </xf>
    <xf borderId="2" fillId="5" fontId="9" numFmtId="0" xfId="0" applyAlignment="1" applyBorder="1" applyFill="1" applyFont="1">
      <alignment horizontal="center" shrinkToFit="0" vertical="center" wrapText="1"/>
    </xf>
    <xf borderId="0" fillId="0" fontId="10" numFmtId="0" xfId="0" applyFont="1"/>
    <xf borderId="1" fillId="5" fontId="9" numFmtId="0" xfId="0" applyAlignment="1" applyBorder="1" applyFill="1" applyFont="1">
      <alignment horizontal="center" shrinkToFit="0" vertical="center" wrapText="1"/>
    </xf>
    <xf borderId="5" fillId="0" fontId="10" numFmtId="0" xfId="0" applyAlignment="1" applyBorder="1" applyFont="1">
      <alignment horizontal="center" readingOrder="0" shrinkToFit="0" vertical="center" wrapText="1"/>
    </xf>
    <xf borderId="5" fillId="0" fontId="1" numFmtId="0" xfId="0" applyAlignment="1" applyBorder="1" applyFont="1">
      <alignment horizontal="center" shrinkToFit="0" vertical="center" wrapText="1"/>
    </xf>
    <xf borderId="1" fillId="0" fontId="10" numFmtId="0" xfId="0" applyAlignment="1" applyBorder="1" applyFont="1">
      <alignment horizontal="center" shrinkToFit="0" vertical="bottom" wrapText="1"/>
    </xf>
    <xf borderId="5"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0" fontId="11" numFmtId="0" xfId="0" applyAlignment="1" applyBorder="1" applyFont="1">
      <alignment horizontal="center" shrinkToFit="0" vertical="center" wrapText="1"/>
    </xf>
    <xf borderId="9" fillId="0" fontId="3" numFmtId="0" xfId="0" applyBorder="1" applyFont="1"/>
    <xf borderId="5" fillId="6" fontId="2" numFmtId="0" xfId="0" applyAlignment="1" applyBorder="1" applyFill="1" applyFont="1">
      <alignment horizontal="center" shrinkToFit="0" vertical="center" wrapText="1"/>
    </xf>
    <xf borderId="2" fillId="6" fontId="2" numFmtId="0" xfId="0" applyAlignment="1" applyBorder="1" applyFill="1" applyFont="1">
      <alignment horizontal="center" shrinkToFit="0" vertical="center" wrapText="1"/>
    </xf>
    <xf borderId="5" fillId="6" fontId="2" numFmtId="0" xfId="0" applyAlignment="1" applyBorder="1" applyFill="1" applyFont="1">
      <alignment horizontal="center" readingOrder="0" shrinkToFit="0" vertical="center" wrapText="1"/>
    </xf>
    <xf borderId="1" fillId="6" fontId="2" numFmtId="0" xfId="0" applyAlignment="1" applyBorder="1" applyFill="1" applyFont="1">
      <alignment horizontal="center" shrinkToFit="0" vertical="center" wrapText="1"/>
    </xf>
    <xf borderId="1" fillId="6" fontId="2" numFmtId="0" xfId="0" applyAlignment="1" applyBorder="1" applyFill="1" applyFont="1">
      <alignment horizontal="center" readingOrder="0" shrinkToFit="0" vertical="center" wrapText="1"/>
    </xf>
    <xf borderId="1" fillId="7" fontId="2" numFmtId="0" xfId="0" applyAlignment="1" applyBorder="1" applyFill="1" applyFont="1">
      <alignment horizontal="center" shrinkToFit="0" vertical="center" wrapText="1"/>
    </xf>
    <xf borderId="1" fillId="0" fontId="10"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1" fillId="8" fontId="9" numFmtId="0" xfId="0" applyAlignment="1" applyBorder="1" applyFill="1" applyFont="1">
      <alignment horizontal="center" shrinkToFit="0" vertical="bottom" wrapText="1"/>
    </xf>
    <xf borderId="1" fillId="0" fontId="10" numFmtId="0" xfId="0" applyAlignment="1" applyBorder="1" applyFont="1">
      <alignment horizontal="center" readingOrder="0" shrinkToFit="0" vertical="center" wrapText="1"/>
    </xf>
    <xf borderId="1" fillId="6" fontId="13" numFmtId="0" xfId="0" applyAlignment="1" applyBorder="1" applyFill="1" applyFont="1">
      <alignment horizontal="center" readingOrder="0" shrinkToFit="0" vertical="center" wrapText="1"/>
    </xf>
    <xf borderId="1" fillId="6" fontId="13" numFmtId="0" xfId="0" applyAlignment="1" applyBorder="1" applyFill="1" applyFont="1">
      <alignment horizontal="center" readingOrder="0" shrinkToFit="0" vertical="center" wrapText="1"/>
    </xf>
    <xf borderId="1" fillId="0" fontId="14"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educertifications.google/" TargetMode="External"/><Relationship Id="rId2" Type="http://schemas.openxmlformats.org/officeDocument/2006/relationships/hyperlink" Target="https://www.coursera.org/learn/fundamentals-of-ai-agents-using-rag-and-langchain"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26.63"/>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t="s">
        <v>1</v>
      </c>
      <c r="D2" s="4"/>
      <c r="E2" s="4"/>
      <c r="F2" s="4"/>
      <c r="G2" s="5"/>
      <c r="H2" s="1"/>
      <c r="I2" s="1"/>
      <c r="J2" s="1"/>
      <c r="K2" s="1"/>
      <c r="L2" s="1"/>
      <c r="M2" s="1"/>
      <c r="N2" s="1"/>
      <c r="O2" s="1"/>
      <c r="P2" s="1"/>
      <c r="Q2" s="1"/>
      <c r="R2" s="1"/>
      <c r="S2" s="1"/>
      <c r="T2" s="1"/>
      <c r="U2" s="1"/>
      <c r="V2" s="1"/>
      <c r="W2" s="1"/>
      <c r="X2" s="1"/>
      <c r="Y2" s="1"/>
      <c r="Z2" s="1"/>
    </row>
    <row r="3">
      <c r="A3" s="1"/>
      <c r="B3" s="2" t="s">
        <v>2</v>
      </c>
      <c r="C3" s="6"/>
      <c r="D3" s="4"/>
      <c r="E3" s="4"/>
      <c r="F3" s="4"/>
      <c r="G3" s="5"/>
      <c r="H3" s="1"/>
      <c r="I3" s="1"/>
      <c r="J3" s="1"/>
      <c r="K3" s="1"/>
      <c r="L3" s="1"/>
      <c r="M3" s="1"/>
      <c r="N3" s="1"/>
      <c r="O3" s="1"/>
      <c r="P3" s="1"/>
      <c r="Q3" s="1"/>
      <c r="R3" s="1"/>
      <c r="S3" s="1"/>
      <c r="T3" s="1"/>
      <c r="U3" s="1"/>
      <c r="V3" s="1"/>
      <c r="W3" s="1"/>
      <c r="X3" s="1"/>
      <c r="Y3" s="1"/>
      <c r="Z3" s="1"/>
    </row>
    <row r="4">
      <c r="A4" s="1"/>
      <c r="B4" s="2" t="s">
        <v>3</v>
      </c>
      <c r="C4" s="3" t="s">
        <v>4</v>
      </c>
      <c r="D4" s="4"/>
      <c r="E4" s="4"/>
      <c r="F4" s="4"/>
      <c r="G4" s="5"/>
      <c r="H4" s="1"/>
      <c r="I4" s="1"/>
      <c r="J4" s="1"/>
      <c r="K4" s="1"/>
      <c r="L4" s="1"/>
      <c r="M4" s="1"/>
      <c r="N4" s="1"/>
      <c r="O4" s="1"/>
      <c r="P4" s="1"/>
      <c r="Q4" s="1"/>
      <c r="R4" s="1"/>
      <c r="S4" s="1"/>
      <c r="T4" s="1"/>
      <c r="U4" s="1"/>
      <c r="V4" s="1"/>
      <c r="W4" s="1"/>
      <c r="X4" s="1"/>
      <c r="Y4" s="1"/>
      <c r="Z4" s="1"/>
    </row>
    <row r="5">
      <c r="A5" s="1"/>
      <c r="B5" s="7"/>
      <c r="C5" s="8" t="s">
        <v>5</v>
      </c>
      <c r="D5" s="8" t="s">
        <v>6</v>
      </c>
      <c r="E5" s="8" t="s">
        <v>7</v>
      </c>
      <c r="F5" s="8" t="s">
        <v>8</v>
      </c>
      <c r="G5" s="8" t="s">
        <v>9</v>
      </c>
      <c r="H5" s="1"/>
      <c r="I5" s="1"/>
      <c r="J5" s="1"/>
      <c r="K5" s="1"/>
      <c r="L5" s="1"/>
      <c r="M5" s="1"/>
      <c r="N5" s="1"/>
      <c r="O5" s="1"/>
      <c r="P5" s="1"/>
      <c r="Q5" s="1"/>
      <c r="R5" s="1"/>
      <c r="S5" s="1"/>
      <c r="T5" s="1"/>
      <c r="U5" s="1"/>
      <c r="V5" s="1"/>
      <c r="W5" s="1"/>
      <c r="X5" s="1"/>
      <c r="Y5" s="1"/>
      <c r="Z5" s="1"/>
    </row>
    <row r="6">
      <c r="A6" s="1"/>
      <c r="B6" s="9"/>
      <c r="C6" s="10">
        <v>30.0</v>
      </c>
      <c r="D6" s="10">
        <v>15.0</v>
      </c>
      <c r="E6" s="10"/>
      <c r="F6" s="10">
        <v>45.0</v>
      </c>
      <c r="G6" s="10">
        <v>3.0</v>
      </c>
      <c r="H6" s="1"/>
      <c r="I6" s="1"/>
      <c r="J6" s="1"/>
      <c r="K6" s="1"/>
      <c r="L6" s="1"/>
      <c r="M6" s="1"/>
      <c r="N6" s="1"/>
      <c r="O6" s="1"/>
      <c r="P6" s="1"/>
      <c r="Q6" s="1"/>
      <c r="R6" s="1"/>
      <c r="S6" s="1"/>
      <c r="T6" s="1"/>
      <c r="U6" s="1"/>
      <c r="V6" s="1"/>
      <c r="W6" s="1"/>
      <c r="X6" s="1"/>
      <c r="Y6" s="1"/>
      <c r="Z6" s="1"/>
    </row>
    <row r="7">
      <c r="A7" s="1"/>
      <c r="B7" s="2" t="s">
        <v>10</v>
      </c>
      <c r="C7" s="11" t="s">
        <v>11</v>
      </c>
      <c r="D7" s="4"/>
      <c r="E7" s="5"/>
      <c r="F7" s="11" t="s">
        <v>12</v>
      </c>
      <c r="G7" s="5"/>
      <c r="H7" s="1"/>
      <c r="I7" s="1"/>
      <c r="J7" s="1"/>
      <c r="K7" s="1"/>
      <c r="L7" s="1"/>
      <c r="M7" s="1"/>
      <c r="N7" s="1"/>
      <c r="O7" s="1"/>
      <c r="P7" s="1"/>
      <c r="Q7" s="1"/>
      <c r="R7" s="1"/>
      <c r="S7" s="1"/>
      <c r="T7" s="1"/>
      <c r="U7" s="1"/>
      <c r="V7" s="1"/>
      <c r="W7" s="1"/>
      <c r="X7" s="1"/>
      <c r="Y7" s="1"/>
      <c r="Z7" s="1"/>
    </row>
    <row r="8">
      <c r="A8" s="1"/>
      <c r="B8" s="2" t="s">
        <v>13</v>
      </c>
      <c r="C8" s="12" t="s">
        <v>14</v>
      </c>
      <c r="D8" s="13"/>
      <c r="E8" s="13"/>
      <c r="F8" s="13"/>
      <c r="G8" s="14"/>
      <c r="H8" s="1"/>
      <c r="I8" s="1"/>
      <c r="J8" s="1"/>
      <c r="K8" s="1"/>
      <c r="L8" s="1"/>
      <c r="M8" s="1"/>
      <c r="N8" s="1"/>
      <c r="O8" s="1"/>
      <c r="P8" s="1"/>
      <c r="Q8" s="1"/>
      <c r="R8" s="1"/>
      <c r="S8" s="1"/>
      <c r="T8" s="1"/>
      <c r="U8" s="1"/>
      <c r="V8" s="1"/>
      <c r="W8" s="1"/>
      <c r="X8" s="1"/>
      <c r="Y8" s="1"/>
      <c r="Z8" s="1"/>
    </row>
    <row r="9">
      <c r="A9" s="1"/>
      <c r="B9" s="2" t="s">
        <v>15</v>
      </c>
      <c r="C9" s="15" t="s">
        <v>16</v>
      </c>
      <c r="D9" s="13"/>
      <c r="E9" s="13"/>
      <c r="F9" s="13"/>
      <c r="G9" s="14"/>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6" t="s">
        <v>17</v>
      </c>
      <c r="C11" s="16" t="s">
        <v>18</v>
      </c>
      <c r="D11" s="16" t="s">
        <v>19</v>
      </c>
      <c r="E11" s="16" t="s">
        <v>20</v>
      </c>
      <c r="F11" s="17" t="s">
        <v>21</v>
      </c>
      <c r="G11" s="1"/>
      <c r="H11" s="1"/>
      <c r="I11" s="1"/>
      <c r="J11" s="1"/>
      <c r="K11" s="1"/>
      <c r="L11" s="1"/>
      <c r="M11" s="1"/>
      <c r="N11" s="1"/>
      <c r="O11" s="1"/>
      <c r="P11" s="1"/>
      <c r="Q11" s="1"/>
      <c r="R11" s="1"/>
      <c r="S11" s="1"/>
      <c r="T11" s="1"/>
      <c r="U11" s="1"/>
      <c r="V11" s="1"/>
      <c r="W11" s="1"/>
      <c r="X11" s="1"/>
      <c r="Y11" s="1"/>
      <c r="Z11" s="1"/>
    </row>
    <row r="12">
      <c r="A12" s="1"/>
      <c r="B12" s="9"/>
      <c r="C12" s="9"/>
      <c r="D12" s="9"/>
      <c r="E12" s="9"/>
      <c r="F12" s="17" t="s">
        <v>22</v>
      </c>
      <c r="G12" s="1"/>
      <c r="H12" s="1"/>
      <c r="I12" s="1"/>
      <c r="J12" s="1"/>
      <c r="K12" s="1"/>
      <c r="L12" s="1"/>
      <c r="M12" s="1"/>
      <c r="N12" s="1"/>
      <c r="O12" s="1"/>
      <c r="P12" s="1"/>
      <c r="Q12" s="1"/>
      <c r="R12" s="1"/>
      <c r="S12" s="1"/>
      <c r="T12" s="1"/>
      <c r="U12" s="1"/>
      <c r="V12" s="1"/>
      <c r="W12" s="1"/>
      <c r="X12" s="1"/>
      <c r="Y12" s="1"/>
      <c r="Z12" s="1"/>
    </row>
    <row r="13">
      <c r="A13" s="1"/>
      <c r="B13" s="18">
        <v>1.0</v>
      </c>
      <c r="C13" s="18" t="s">
        <v>23</v>
      </c>
      <c r="D13" s="18" t="s">
        <v>24</v>
      </c>
      <c r="E13" s="18">
        <v>6.0</v>
      </c>
      <c r="F13" s="19" t="s">
        <v>25</v>
      </c>
      <c r="G13" s="1"/>
      <c r="H13" s="1"/>
      <c r="I13" s="1"/>
      <c r="J13" s="1"/>
      <c r="K13" s="1"/>
      <c r="L13" s="1"/>
      <c r="M13" s="1"/>
      <c r="N13" s="1"/>
      <c r="O13" s="1"/>
      <c r="P13" s="1"/>
      <c r="Q13" s="1"/>
      <c r="R13" s="1"/>
      <c r="S13" s="1"/>
      <c r="T13" s="1"/>
      <c r="U13" s="1"/>
      <c r="V13" s="1"/>
      <c r="W13" s="1"/>
      <c r="X13" s="1"/>
      <c r="Y13" s="1"/>
      <c r="Z13" s="1"/>
    </row>
    <row r="14">
      <c r="A14" s="1"/>
      <c r="B14" s="18">
        <v>2.0</v>
      </c>
      <c r="C14" s="18" t="s">
        <v>26</v>
      </c>
      <c r="D14" s="18" t="s">
        <v>27</v>
      </c>
      <c r="E14" s="18">
        <v>8.0</v>
      </c>
      <c r="F14" s="19" t="s">
        <v>25</v>
      </c>
      <c r="G14" s="1"/>
      <c r="H14" s="1"/>
      <c r="I14" s="1"/>
      <c r="J14" s="1"/>
      <c r="K14" s="1"/>
      <c r="L14" s="1"/>
      <c r="M14" s="1"/>
      <c r="N14" s="1"/>
      <c r="O14" s="1"/>
      <c r="P14" s="1"/>
      <c r="Q14" s="1"/>
      <c r="R14" s="1"/>
      <c r="S14" s="1"/>
      <c r="T14" s="1"/>
      <c r="U14" s="1"/>
      <c r="V14" s="1"/>
      <c r="W14" s="1"/>
      <c r="X14" s="1"/>
      <c r="Y14" s="1"/>
      <c r="Z14" s="1"/>
    </row>
    <row r="15">
      <c r="A15" s="1"/>
      <c r="B15" s="18">
        <v>3.0</v>
      </c>
      <c r="C15" s="18" t="s">
        <v>28</v>
      </c>
      <c r="D15" s="18" t="s">
        <v>29</v>
      </c>
      <c r="E15" s="18">
        <v>12.0</v>
      </c>
      <c r="F15" s="20" t="s">
        <v>30</v>
      </c>
      <c r="G15" s="1"/>
      <c r="H15" s="1"/>
      <c r="I15" s="1"/>
      <c r="J15" s="1"/>
      <c r="K15" s="1"/>
      <c r="L15" s="1"/>
      <c r="M15" s="1"/>
      <c r="N15" s="1"/>
      <c r="O15" s="1"/>
      <c r="P15" s="1"/>
      <c r="Q15" s="1"/>
      <c r="R15" s="1"/>
      <c r="S15" s="1"/>
      <c r="T15" s="1"/>
      <c r="U15" s="1"/>
      <c r="V15" s="1"/>
      <c r="W15" s="1"/>
      <c r="X15" s="1"/>
      <c r="Y15" s="1"/>
      <c r="Z15" s="1"/>
    </row>
    <row r="16">
      <c r="A16" s="1"/>
      <c r="B16" s="18">
        <v>4.0</v>
      </c>
      <c r="C16" s="18" t="s">
        <v>31</v>
      </c>
      <c r="D16" s="18" t="s">
        <v>32</v>
      </c>
      <c r="E16" s="18">
        <v>11.0</v>
      </c>
      <c r="F16" s="20" t="s">
        <v>33</v>
      </c>
      <c r="G16" s="1"/>
      <c r="H16" s="1"/>
      <c r="I16" s="1"/>
      <c r="J16" s="1"/>
      <c r="K16" s="1"/>
      <c r="L16" s="1"/>
      <c r="M16" s="1"/>
      <c r="N16" s="1"/>
      <c r="O16" s="1"/>
      <c r="P16" s="1"/>
      <c r="Q16" s="1"/>
      <c r="R16" s="1"/>
      <c r="S16" s="1"/>
      <c r="T16" s="1"/>
      <c r="U16" s="1"/>
      <c r="V16" s="1"/>
      <c r="W16" s="1"/>
      <c r="X16" s="1"/>
      <c r="Y16" s="1"/>
      <c r="Z16" s="1"/>
    </row>
    <row r="17">
      <c r="A17" s="1"/>
      <c r="B17" s="18">
        <v>5.0</v>
      </c>
      <c r="C17" s="18" t="s">
        <v>34</v>
      </c>
      <c r="D17" s="18" t="s">
        <v>35</v>
      </c>
      <c r="E17" s="18">
        <v>5.0</v>
      </c>
      <c r="F17" s="20" t="s">
        <v>30</v>
      </c>
      <c r="G17" s="1"/>
      <c r="H17" s="1"/>
      <c r="I17" s="1"/>
      <c r="J17" s="1"/>
      <c r="K17" s="1"/>
      <c r="L17" s="1"/>
      <c r="M17" s="1"/>
      <c r="N17" s="1"/>
      <c r="O17" s="1"/>
      <c r="P17" s="1"/>
      <c r="Q17" s="1"/>
      <c r="R17" s="1"/>
      <c r="S17" s="1"/>
      <c r="T17" s="1"/>
      <c r="U17" s="1"/>
      <c r="V17" s="1"/>
      <c r="W17" s="1"/>
      <c r="X17" s="1"/>
      <c r="Y17" s="1"/>
      <c r="Z17" s="1"/>
    </row>
    <row r="18">
      <c r="A18" s="1"/>
      <c r="B18" s="18">
        <v>6.0</v>
      </c>
      <c r="C18" s="18" t="s">
        <v>36</v>
      </c>
      <c r="D18" s="18" t="s">
        <v>32</v>
      </c>
      <c r="E18" s="18">
        <v>3.0</v>
      </c>
      <c r="F18" s="20" t="s">
        <v>37</v>
      </c>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sheetData>
  <mergeCells count="12">
    <mergeCell ref="B5:B6"/>
    <mergeCell ref="B11:B12"/>
    <mergeCell ref="C11:C12"/>
    <mergeCell ref="D11:D12"/>
    <mergeCell ref="E11:E12"/>
    <mergeCell ref="C2:G2"/>
    <mergeCell ref="C3:G3"/>
    <mergeCell ref="C4:G4"/>
    <mergeCell ref="C7:E7"/>
    <mergeCell ref="F7:G7"/>
    <mergeCell ref="C8:G8"/>
    <mergeCell ref="C9:G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13"/>
    <col customWidth="1" min="2" max="2" width="26.0"/>
    <col customWidth="1" min="3" max="3" width="4.25"/>
    <col customWidth="1" min="4" max="4" width="7.88"/>
    <col customWidth="1" min="5" max="5" width="4.75"/>
    <col customWidth="1" min="6" max="6" width="20.75"/>
    <col customWidth="1" min="7" max="7" width="41.0"/>
    <col customWidth="1" min="8" max="8" width="25.63"/>
    <col customWidth="1" min="9" max="9" width="13.5"/>
  </cols>
  <sheetData>
    <row r="1">
      <c r="A1" s="21" t="s">
        <v>38</v>
      </c>
      <c r="B1" s="21" t="s">
        <v>39</v>
      </c>
      <c r="C1" s="21" t="s">
        <v>40</v>
      </c>
      <c r="D1" s="21" t="s">
        <v>41</v>
      </c>
      <c r="E1" s="22" t="s">
        <v>42</v>
      </c>
      <c r="F1" s="4"/>
      <c r="G1" s="5"/>
      <c r="H1" s="21" t="s">
        <v>43</v>
      </c>
      <c r="I1" s="21" t="s">
        <v>44</v>
      </c>
      <c r="J1" s="23"/>
      <c r="K1" s="23"/>
      <c r="L1" s="23"/>
      <c r="M1" s="23"/>
      <c r="N1" s="23"/>
      <c r="O1" s="23"/>
      <c r="P1" s="23"/>
      <c r="Q1" s="23"/>
      <c r="R1" s="23"/>
      <c r="S1" s="23"/>
      <c r="T1" s="23"/>
      <c r="U1" s="23"/>
      <c r="V1" s="23"/>
      <c r="W1" s="23"/>
      <c r="X1" s="23"/>
    </row>
    <row r="2">
      <c r="A2" s="9"/>
      <c r="B2" s="9"/>
      <c r="C2" s="9"/>
      <c r="D2" s="9"/>
      <c r="E2" s="24" t="s">
        <v>45</v>
      </c>
      <c r="F2" s="24" t="s">
        <v>46</v>
      </c>
      <c r="G2" s="24" t="s">
        <v>47</v>
      </c>
      <c r="H2" s="9"/>
      <c r="I2" s="9"/>
      <c r="J2" s="23"/>
      <c r="K2" s="23"/>
      <c r="L2" s="23"/>
      <c r="M2" s="23"/>
      <c r="N2" s="23"/>
      <c r="O2" s="23"/>
      <c r="P2" s="23"/>
      <c r="Q2" s="23"/>
      <c r="R2" s="23"/>
      <c r="S2" s="23"/>
      <c r="T2" s="23"/>
      <c r="U2" s="23"/>
      <c r="V2" s="23"/>
      <c r="W2" s="23"/>
      <c r="X2" s="23"/>
    </row>
    <row r="3">
      <c r="A3" s="25" t="s">
        <v>4</v>
      </c>
      <c r="B3" s="26" t="s">
        <v>48</v>
      </c>
      <c r="C3" s="26" t="s">
        <v>49</v>
      </c>
      <c r="D3" s="27" t="s">
        <v>5</v>
      </c>
      <c r="E3" s="26">
        <v>1.0</v>
      </c>
      <c r="F3" s="28" t="s">
        <v>50</v>
      </c>
      <c r="G3" s="29" t="s">
        <v>51</v>
      </c>
      <c r="H3" s="29" t="s">
        <v>52</v>
      </c>
      <c r="I3" s="30" t="str">
        <f>HYPERLINK("https://python.langchain.com/docs/", "LangChain/LangGraph Documentation")</f>
        <v>LangChain/LangGraph Documentation</v>
      </c>
      <c r="J3" s="23"/>
      <c r="K3" s="23"/>
      <c r="L3" s="23"/>
      <c r="M3" s="23"/>
      <c r="N3" s="23"/>
      <c r="O3" s="23"/>
      <c r="P3" s="23"/>
      <c r="Q3" s="23"/>
      <c r="R3" s="23"/>
      <c r="S3" s="23"/>
      <c r="T3" s="23"/>
      <c r="U3" s="23"/>
      <c r="V3" s="23"/>
      <c r="W3" s="23"/>
      <c r="X3" s="23"/>
    </row>
    <row r="4">
      <c r="A4" s="31"/>
      <c r="B4" s="31"/>
      <c r="C4" s="31"/>
      <c r="D4" s="27" t="s">
        <v>5</v>
      </c>
      <c r="E4" s="31"/>
      <c r="F4" s="31"/>
      <c r="G4" s="29" t="s">
        <v>53</v>
      </c>
      <c r="H4" s="29" t="s">
        <v>54</v>
      </c>
      <c r="I4" s="30" t="str">
        <f>HYPERLINK("https://platform.openai.com/docs/", "OpenAI Documentation")</f>
        <v>OpenAI Documentation</v>
      </c>
      <c r="J4" s="23"/>
      <c r="K4" s="23"/>
      <c r="L4" s="23"/>
      <c r="M4" s="23"/>
      <c r="N4" s="23"/>
      <c r="O4" s="23"/>
      <c r="P4" s="23"/>
      <c r="Q4" s="23"/>
      <c r="R4" s="23"/>
      <c r="S4" s="23"/>
      <c r="T4" s="23"/>
      <c r="U4" s="23"/>
      <c r="V4" s="23"/>
      <c r="W4" s="23"/>
      <c r="X4" s="23"/>
    </row>
    <row r="5">
      <c r="A5" s="31"/>
      <c r="B5" s="31"/>
      <c r="C5" s="31"/>
      <c r="D5" s="27" t="s">
        <v>5</v>
      </c>
      <c r="E5" s="31"/>
      <c r="F5" s="31"/>
      <c r="G5" s="29" t="s">
        <v>55</v>
      </c>
      <c r="H5" s="29"/>
      <c r="I5" s="30" t="str">
        <f>HYPERLINK("https://huggingface.co/docs", "Hugging Face Documentation")</f>
        <v>Hugging Face Documentation</v>
      </c>
      <c r="J5" s="23"/>
      <c r="K5" s="23"/>
      <c r="L5" s="23"/>
      <c r="M5" s="23"/>
      <c r="N5" s="23"/>
      <c r="O5" s="23"/>
      <c r="P5" s="23"/>
      <c r="Q5" s="23"/>
      <c r="R5" s="23"/>
      <c r="S5" s="23"/>
      <c r="T5" s="23"/>
      <c r="U5" s="23"/>
      <c r="V5" s="23"/>
      <c r="W5" s="23"/>
      <c r="X5" s="23"/>
    </row>
    <row r="6">
      <c r="A6" s="31"/>
      <c r="B6" s="9"/>
      <c r="C6" s="9"/>
      <c r="D6" s="27" t="s">
        <v>6</v>
      </c>
      <c r="E6" s="9"/>
      <c r="F6" s="9"/>
      <c r="G6" s="29" t="s">
        <v>56</v>
      </c>
      <c r="H6" s="29"/>
      <c r="I6" s="30" t="str">
        <f>HYPERLINK("https://github.com/ollama/ollama/tree/main/docs", "Ollama Documentation")</f>
        <v>Ollama Documentation</v>
      </c>
      <c r="J6" s="23"/>
      <c r="K6" s="23"/>
      <c r="L6" s="23"/>
      <c r="M6" s="23"/>
      <c r="N6" s="23"/>
      <c r="O6" s="23"/>
      <c r="P6" s="23"/>
      <c r="Q6" s="23"/>
      <c r="R6" s="23"/>
      <c r="S6" s="23"/>
      <c r="T6" s="23"/>
      <c r="U6" s="23"/>
      <c r="V6" s="23"/>
      <c r="W6" s="23"/>
      <c r="X6" s="23"/>
    </row>
    <row r="7">
      <c r="A7" s="31"/>
      <c r="B7" s="26" t="s">
        <v>57</v>
      </c>
      <c r="C7" s="26" t="s">
        <v>58</v>
      </c>
      <c r="D7" s="27" t="s">
        <v>5</v>
      </c>
      <c r="E7" s="26">
        <v>2.0</v>
      </c>
      <c r="F7" s="28" t="s">
        <v>59</v>
      </c>
      <c r="G7" s="29" t="s">
        <v>60</v>
      </c>
      <c r="H7" s="29" t="s">
        <v>61</v>
      </c>
      <c r="I7" s="30" t="str">
        <f>HYPERLINK("https://platform.openai.com/docs/api-reference", "OpenAI API Documentation")</f>
        <v>OpenAI API Documentation</v>
      </c>
      <c r="J7" s="23"/>
      <c r="K7" s="23"/>
      <c r="L7" s="23"/>
      <c r="M7" s="23"/>
      <c r="N7" s="23"/>
      <c r="O7" s="23"/>
      <c r="P7" s="23"/>
      <c r="Q7" s="23"/>
      <c r="R7" s="23"/>
      <c r="S7" s="23"/>
      <c r="T7" s="23"/>
      <c r="U7" s="23"/>
      <c r="V7" s="23"/>
      <c r="W7" s="23"/>
      <c r="X7" s="23"/>
    </row>
    <row r="8">
      <c r="A8" s="31"/>
      <c r="B8" s="31"/>
      <c r="C8" s="31"/>
      <c r="D8" s="27" t="s">
        <v>6</v>
      </c>
      <c r="E8" s="31"/>
      <c r="F8" s="31"/>
      <c r="G8" s="29" t="s">
        <v>62</v>
      </c>
      <c r="H8" s="29"/>
      <c r="I8" s="30" t="str">
        <f>HYPERLINK("https://ai.google.dev/docs", "Google Gemini API Documentation")</f>
        <v>Google Gemini API Documentation</v>
      </c>
      <c r="J8" s="23"/>
      <c r="K8" s="23"/>
      <c r="L8" s="23"/>
      <c r="M8" s="23"/>
      <c r="N8" s="23"/>
      <c r="O8" s="23"/>
      <c r="P8" s="23"/>
      <c r="Q8" s="23"/>
      <c r="R8" s="23"/>
      <c r="S8" s="23"/>
      <c r="T8" s="23"/>
      <c r="U8" s="23"/>
      <c r="V8" s="23"/>
      <c r="W8" s="23"/>
      <c r="X8" s="23"/>
    </row>
    <row r="9">
      <c r="A9" s="31"/>
      <c r="B9" s="31"/>
      <c r="C9" s="31"/>
      <c r="D9" s="27" t="s">
        <v>5</v>
      </c>
      <c r="E9" s="31"/>
      <c r="F9" s="31"/>
      <c r="G9" s="29" t="s">
        <v>63</v>
      </c>
      <c r="H9" s="29"/>
      <c r="I9" s="30" t="str">
        <f>HYPERLINK("https://platform.openai.com/docs/guides/function-calling", "OpenAI Function Calling Documentation")</f>
        <v>OpenAI Function Calling Documentation</v>
      </c>
      <c r="J9" s="23"/>
      <c r="K9" s="23"/>
      <c r="L9" s="23"/>
      <c r="M9" s="23"/>
      <c r="N9" s="23"/>
      <c r="O9" s="23"/>
      <c r="P9" s="23"/>
      <c r="Q9" s="23"/>
      <c r="R9" s="23"/>
      <c r="S9" s="23"/>
      <c r="T9" s="23"/>
      <c r="U9" s="23"/>
      <c r="V9" s="23"/>
      <c r="W9" s="23"/>
      <c r="X9" s="23"/>
    </row>
    <row r="10">
      <c r="A10" s="31"/>
      <c r="B10" s="31"/>
      <c r="C10" s="31"/>
      <c r="D10" s="27" t="s">
        <v>6</v>
      </c>
      <c r="E10" s="31"/>
      <c r="F10" s="31"/>
      <c r="G10" s="29" t="s">
        <v>64</v>
      </c>
      <c r="H10" s="29" t="s">
        <v>65</v>
      </c>
      <c r="I10" s="30" t="str">
        <f>HYPERLINK("https://ai.google.dev/docs", "Google Gemini API Documentation")</f>
        <v>Google Gemini API Documentation</v>
      </c>
      <c r="J10" s="23"/>
      <c r="K10" s="23"/>
      <c r="L10" s="23"/>
      <c r="M10" s="23"/>
      <c r="N10" s="23"/>
      <c r="O10" s="23"/>
      <c r="P10" s="23"/>
      <c r="Q10" s="23"/>
      <c r="R10" s="23"/>
      <c r="S10" s="23"/>
      <c r="T10" s="23"/>
      <c r="U10" s="23"/>
      <c r="V10" s="23"/>
      <c r="W10" s="23"/>
      <c r="X10" s="23"/>
    </row>
    <row r="11">
      <c r="A11" s="31"/>
      <c r="B11" s="9"/>
      <c r="C11" s="9"/>
      <c r="D11" s="27" t="s">
        <v>6</v>
      </c>
      <c r="E11" s="9"/>
      <c r="F11" s="9"/>
      <c r="G11" s="29" t="s">
        <v>66</v>
      </c>
      <c r="H11" s="29"/>
      <c r="I11" s="30" t="str">
        <f>HYPERLINK("https://docs.streamlit.io/", "Streamlit Documentation")</f>
        <v>Streamlit Documentation</v>
      </c>
      <c r="J11" s="23"/>
      <c r="K11" s="23"/>
      <c r="L11" s="23"/>
      <c r="M11" s="23"/>
      <c r="N11" s="23"/>
      <c r="O11" s="23"/>
      <c r="P11" s="23"/>
      <c r="Q11" s="23"/>
      <c r="R11" s="23"/>
      <c r="S11" s="23"/>
      <c r="T11" s="23"/>
      <c r="U11" s="23"/>
      <c r="V11" s="23"/>
      <c r="W11" s="23"/>
      <c r="X11" s="23"/>
    </row>
    <row r="12">
      <c r="A12" s="31"/>
      <c r="B12" s="26" t="s">
        <v>67</v>
      </c>
      <c r="C12" s="26" t="s">
        <v>68</v>
      </c>
      <c r="D12" s="27" t="s">
        <v>5</v>
      </c>
      <c r="E12" s="26">
        <v>3.0</v>
      </c>
      <c r="F12" s="28" t="s">
        <v>69</v>
      </c>
      <c r="G12" s="29" t="s">
        <v>70</v>
      </c>
      <c r="H12" s="29" t="s">
        <v>71</v>
      </c>
      <c r="I12" s="30" t="str">
        <f>HYPERLINK("https://learn.activeloop.ai/", "Activeloop RAG Course")</f>
        <v>Activeloop RAG Course</v>
      </c>
      <c r="J12" s="23"/>
      <c r="K12" s="23"/>
      <c r="L12" s="23"/>
      <c r="M12" s="23"/>
      <c r="N12" s="23"/>
      <c r="O12" s="23"/>
      <c r="P12" s="23"/>
      <c r="Q12" s="23"/>
      <c r="R12" s="23"/>
      <c r="S12" s="23"/>
      <c r="T12" s="23"/>
      <c r="U12" s="23"/>
      <c r="V12" s="23"/>
      <c r="W12" s="23"/>
      <c r="X12" s="23"/>
    </row>
    <row r="13">
      <c r="A13" s="31"/>
      <c r="B13" s="31"/>
      <c r="C13" s="31"/>
      <c r="D13" s="27" t="s">
        <v>5</v>
      </c>
      <c r="E13" s="31"/>
      <c r="F13" s="31"/>
      <c r="G13" s="29" t="s">
        <v>72</v>
      </c>
      <c r="H13" s="29" t="s">
        <v>73</v>
      </c>
      <c r="I13" s="30" t="str">
        <f>HYPERLINK("https://docs.llamaindex.ai/", "LlamaIndex Documentation")</f>
        <v>LlamaIndex Documentation</v>
      </c>
      <c r="J13" s="23"/>
      <c r="K13" s="23"/>
      <c r="L13" s="23"/>
      <c r="M13" s="23"/>
      <c r="N13" s="23"/>
      <c r="O13" s="23"/>
      <c r="P13" s="23"/>
      <c r="Q13" s="23"/>
      <c r="R13" s="23"/>
      <c r="S13" s="23"/>
      <c r="T13" s="23"/>
      <c r="U13" s="23"/>
      <c r="V13" s="23"/>
      <c r="W13" s="23"/>
      <c r="X13" s="23"/>
    </row>
    <row r="14">
      <c r="A14" s="31"/>
      <c r="B14" s="31"/>
      <c r="C14" s="31"/>
      <c r="D14" s="27" t="s">
        <v>6</v>
      </c>
      <c r="E14" s="31"/>
      <c r="F14" s="31"/>
      <c r="G14" s="29" t="s">
        <v>74</v>
      </c>
      <c r="H14" s="29"/>
      <c r="I14" s="30" t="str">
        <f>HYPERLINK("https://python.langchain.com/docs/", "LangChain Documentation")</f>
        <v>LangChain Documentation</v>
      </c>
      <c r="J14" s="23"/>
      <c r="K14" s="23"/>
      <c r="L14" s="23"/>
      <c r="M14" s="23"/>
      <c r="N14" s="23"/>
      <c r="O14" s="23"/>
      <c r="P14" s="23"/>
      <c r="Q14" s="23"/>
      <c r="R14" s="23"/>
      <c r="S14" s="23"/>
      <c r="T14" s="23"/>
      <c r="U14" s="23"/>
      <c r="V14" s="23"/>
      <c r="W14" s="23"/>
      <c r="X14" s="23"/>
    </row>
    <row r="15">
      <c r="A15" s="31"/>
      <c r="B15" s="31"/>
      <c r="C15" s="31"/>
      <c r="D15" s="27" t="s">
        <v>6</v>
      </c>
      <c r="E15" s="31"/>
      <c r="F15" s="31"/>
      <c r="G15" s="29" t="s">
        <v>75</v>
      </c>
      <c r="H15" s="29"/>
      <c r="I15" s="30" t="str">
        <f>HYPERLINK("https://docs.pinecone.io/", "Pinecone Documentation")</f>
        <v>Pinecone Documentation</v>
      </c>
      <c r="J15" s="23"/>
      <c r="K15" s="23"/>
      <c r="L15" s="23"/>
      <c r="M15" s="23"/>
      <c r="N15" s="23"/>
      <c r="O15" s="23"/>
      <c r="P15" s="23"/>
      <c r="Q15" s="23"/>
      <c r="R15" s="23"/>
      <c r="S15" s="23"/>
      <c r="T15" s="23"/>
      <c r="U15" s="23"/>
      <c r="V15" s="23"/>
      <c r="W15" s="23"/>
      <c r="X15" s="23"/>
    </row>
    <row r="16">
      <c r="A16" s="31"/>
      <c r="B16" s="31"/>
      <c r="C16" s="31"/>
      <c r="D16" s="27" t="s">
        <v>5</v>
      </c>
      <c r="E16" s="31"/>
      <c r="F16" s="31"/>
      <c r="G16" s="29" t="s">
        <v>76</v>
      </c>
      <c r="H16" s="29"/>
      <c r="I16" s="30" t="str">
        <f>HYPERLINK("https://github.com/facebookresearch/faiss/wiki", "FAISS Documentation")</f>
        <v>FAISS Documentation</v>
      </c>
      <c r="J16" s="23"/>
      <c r="K16" s="23"/>
      <c r="L16" s="23"/>
      <c r="M16" s="23"/>
      <c r="N16" s="23"/>
      <c r="O16" s="23"/>
      <c r="P16" s="23"/>
      <c r="Q16" s="23"/>
      <c r="R16" s="23"/>
      <c r="S16" s="23"/>
      <c r="T16" s="23"/>
      <c r="U16" s="23"/>
      <c r="V16" s="23"/>
      <c r="W16" s="23"/>
      <c r="X16" s="23"/>
    </row>
    <row r="17">
      <c r="A17" s="31"/>
      <c r="B17" s="31"/>
      <c r="C17" s="31"/>
      <c r="D17" s="27" t="s">
        <v>5</v>
      </c>
      <c r="E17" s="31"/>
      <c r="F17" s="31"/>
      <c r="G17" s="29" t="s">
        <v>77</v>
      </c>
      <c r="H17" s="29"/>
      <c r="I17" s="30" t="str">
        <f>HYPERLINK("https://docs.llamaindex.ai/", "LlamaIndex Documentation")</f>
        <v>LlamaIndex Documentation</v>
      </c>
      <c r="J17" s="23"/>
      <c r="K17" s="23"/>
      <c r="L17" s="23"/>
      <c r="M17" s="23"/>
      <c r="N17" s="23"/>
      <c r="O17" s="23"/>
      <c r="P17" s="23"/>
      <c r="Q17" s="23"/>
      <c r="R17" s="23"/>
      <c r="S17" s="23"/>
      <c r="T17" s="23"/>
      <c r="U17" s="23"/>
      <c r="V17" s="23"/>
      <c r="W17" s="23"/>
      <c r="X17" s="23"/>
    </row>
    <row r="18">
      <c r="A18" s="31"/>
      <c r="B18" s="9"/>
      <c r="C18" s="9"/>
      <c r="D18" s="27" t="s">
        <v>6</v>
      </c>
      <c r="E18" s="9"/>
      <c r="F18" s="9"/>
      <c r="G18" s="29" t="s">
        <v>78</v>
      </c>
      <c r="H18" s="29"/>
      <c r="I18" s="30" t="str">
        <f>HYPERLINK("[link removed]", "LangChain Evaluation Documentation")</f>
        <v>LangChain Evaluation Documentation</v>
      </c>
      <c r="J18" s="23"/>
      <c r="K18" s="23"/>
      <c r="L18" s="23"/>
      <c r="M18" s="23"/>
      <c r="N18" s="23"/>
      <c r="O18" s="23"/>
      <c r="P18" s="23"/>
      <c r="Q18" s="23"/>
      <c r="R18" s="23"/>
      <c r="S18" s="23"/>
      <c r="T18" s="23"/>
      <c r="U18" s="23"/>
      <c r="V18" s="23"/>
      <c r="W18" s="23"/>
      <c r="X18" s="23"/>
    </row>
    <row r="19">
      <c r="A19" s="31"/>
      <c r="B19" s="26" t="s">
        <v>79</v>
      </c>
      <c r="C19" s="26" t="s">
        <v>80</v>
      </c>
      <c r="D19" s="27" t="s">
        <v>5</v>
      </c>
      <c r="E19" s="26">
        <v>4.0</v>
      </c>
      <c r="F19" s="28" t="s">
        <v>81</v>
      </c>
      <c r="G19" s="29" t="s">
        <v>82</v>
      </c>
      <c r="H19" s="29" t="s">
        <v>83</v>
      </c>
      <c r="I19" s="30" t="str">
        <f>HYPERLINK("https://langchain-ai.github.io/langgraph/", "LangGraph Documentation")</f>
        <v>LangGraph Documentation</v>
      </c>
      <c r="J19" s="23"/>
      <c r="K19" s="23"/>
      <c r="L19" s="23"/>
      <c r="M19" s="23"/>
      <c r="N19" s="23"/>
      <c r="O19" s="23"/>
      <c r="P19" s="23"/>
      <c r="Q19" s="23"/>
      <c r="R19" s="23"/>
      <c r="S19" s="23"/>
      <c r="T19" s="23"/>
      <c r="U19" s="23"/>
      <c r="V19" s="23"/>
      <c r="W19" s="23"/>
      <c r="X19" s="23"/>
    </row>
    <row r="20">
      <c r="A20" s="31"/>
      <c r="B20" s="31"/>
      <c r="C20" s="31"/>
      <c r="D20" s="27" t="s">
        <v>6</v>
      </c>
      <c r="E20" s="31"/>
      <c r="F20" s="31"/>
      <c r="G20" s="29" t="s">
        <v>84</v>
      </c>
      <c r="H20" s="29"/>
      <c r="I20" s="30" t="str">
        <f>HYPERLINK("https://platform.openai.com/docs/guides/function-calling", "OpenAI Function Calling Documentation")</f>
        <v>OpenAI Function Calling Documentation</v>
      </c>
      <c r="J20" s="23"/>
      <c r="K20" s="23"/>
      <c r="L20" s="23"/>
      <c r="M20" s="23"/>
      <c r="N20" s="23"/>
      <c r="O20" s="23"/>
      <c r="P20" s="23"/>
      <c r="Q20" s="23"/>
      <c r="R20" s="23"/>
      <c r="S20" s="23"/>
      <c r="T20" s="23"/>
      <c r="U20" s="23"/>
      <c r="V20" s="23"/>
      <c r="W20" s="23"/>
      <c r="X20" s="23"/>
    </row>
    <row r="21">
      <c r="A21" s="31"/>
      <c r="B21" s="31"/>
      <c r="C21" s="31"/>
      <c r="D21" s="27" t="s">
        <v>5</v>
      </c>
      <c r="E21" s="31"/>
      <c r="F21" s="31"/>
      <c r="G21" s="29" t="s">
        <v>85</v>
      </c>
      <c r="H21" s="29"/>
      <c r="I21" s="30" t="str">
        <f>HYPERLINK("[link removed]", "LangChain Memory Documentation")</f>
        <v>LangChain Memory Documentation</v>
      </c>
      <c r="J21" s="23"/>
      <c r="K21" s="23"/>
      <c r="L21" s="23"/>
      <c r="M21" s="23"/>
      <c r="N21" s="23"/>
      <c r="O21" s="23"/>
      <c r="P21" s="23"/>
      <c r="Q21" s="23"/>
      <c r="R21" s="23"/>
      <c r="S21" s="23"/>
      <c r="T21" s="23"/>
      <c r="U21" s="23"/>
      <c r="V21" s="23"/>
      <c r="W21" s="23"/>
      <c r="X21" s="23"/>
    </row>
    <row r="22">
      <c r="A22" s="31"/>
      <c r="B22" s="31"/>
      <c r="C22" s="31"/>
      <c r="D22" s="27" t="s">
        <v>6</v>
      </c>
      <c r="E22" s="31"/>
      <c r="F22" s="31"/>
      <c r="G22" s="29" t="s">
        <v>86</v>
      </c>
      <c r="H22" s="29"/>
      <c r="I22" s="30" t="str">
        <f>HYPERLINK("https://langchain-ai.github.io/langgraph/", "LangGraph Documentation")</f>
        <v>LangGraph Documentation</v>
      </c>
      <c r="J22" s="23"/>
      <c r="K22" s="23"/>
      <c r="L22" s="23"/>
      <c r="M22" s="23"/>
      <c r="N22" s="23"/>
      <c r="O22" s="23"/>
      <c r="P22" s="23"/>
      <c r="Q22" s="23"/>
      <c r="R22" s="23"/>
      <c r="S22" s="23"/>
      <c r="T22" s="23"/>
      <c r="U22" s="23"/>
      <c r="V22" s="23"/>
      <c r="W22" s="23"/>
      <c r="X22" s="23"/>
    </row>
    <row r="23">
      <c r="A23" s="31"/>
      <c r="B23" s="31"/>
      <c r="C23" s="31"/>
      <c r="D23" s="27" t="s">
        <v>6</v>
      </c>
      <c r="E23" s="31"/>
      <c r="F23" s="31"/>
      <c r="G23" s="29" t="s">
        <v>87</v>
      </c>
      <c r="H23" s="29"/>
      <c r="I23" s="30" t="str">
        <f>HYPERLINK("https://langchain-ai.github.io/langgraph/tutorials/multi_agent/multi-agent-collaboration/", "LangGraph Multi-Agent Documentation")</f>
        <v>LangGraph Multi-Agent Documentation</v>
      </c>
      <c r="J23" s="23"/>
      <c r="K23" s="23"/>
      <c r="L23" s="23"/>
      <c r="M23" s="23"/>
      <c r="N23" s="23"/>
      <c r="O23" s="23"/>
      <c r="P23" s="23"/>
      <c r="Q23" s="23"/>
      <c r="R23" s="23"/>
      <c r="S23" s="23"/>
      <c r="T23" s="23"/>
      <c r="U23" s="23"/>
      <c r="V23" s="23"/>
      <c r="W23" s="23"/>
      <c r="X23" s="23"/>
    </row>
    <row r="24">
      <c r="A24" s="31"/>
      <c r="B24" s="9"/>
      <c r="C24" s="9"/>
      <c r="D24" s="27" t="s">
        <v>5</v>
      </c>
      <c r="E24" s="9"/>
      <c r="F24" s="9"/>
      <c r="G24" s="29" t="s">
        <v>88</v>
      </c>
      <c r="H24" s="29" t="s">
        <v>89</v>
      </c>
      <c r="I24" s="30" t="str">
        <f>HYPERLINK("https://docs.anthropic.com/en/docs/mcp", "Anthropic MCP Documentation; Google Cloud MCP Guide")</f>
        <v>Anthropic MCP Documentation; Google Cloud MCP Guide</v>
      </c>
      <c r="J24" s="23"/>
      <c r="K24" s="23"/>
      <c r="L24" s="23"/>
      <c r="M24" s="23"/>
      <c r="N24" s="23"/>
      <c r="O24" s="23"/>
      <c r="P24" s="23"/>
      <c r="Q24" s="23"/>
      <c r="R24" s="23"/>
      <c r="S24" s="23"/>
      <c r="T24" s="23"/>
      <c r="U24" s="23"/>
      <c r="V24" s="23"/>
      <c r="W24" s="23"/>
      <c r="X24" s="23"/>
    </row>
    <row r="25">
      <c r="A25" s="31"/>
      <c r="B25" s="26" t="s">
        <v>90</v>
      </c>
      <c r="C25" s="26" t="s">
        <v>91</v>
      </c>
      <c r="D25" s="27" t="s">
        <v>5</v>
      </c>
      <c r="E25" s="26">
        <v>5.0</v>
      </c>
      <c r="F25" s="28" t="s">
        <v>92</v>
      </c>
      <c r="G25" s="29" t="s">
        <v>93</v>
      </c>
      <c r="H25" s="29" t="s">
        <v>94</v>
      </c>
      <c r="I25" s="30" t="str">
        <f>HYPERLINK("[link removed]", "LangChain Use Case Documentation")</f>
        <v>LangChain Use Case Documentation</v>
      </c>
      <c r="J25" s="23"/>
      <c r="K25" s="23"/>
      <c r="L25" s="23"/>
      <c r="M25" s="23"/>
      <c r="N25" s="23"/>
      <c r="O25" s="23"/>
      <c r="P25" s="23"/>
      <c r="Q25" s="23"/>
      <c r="R25" s="23"/>
      <c r="S25" s="23"/>
      <c r="T25" s="23"/>
      <c r="U25" s="23"/>
      <c r="V25" s="23"/>
      <c r="W25" s="23"/>
      <c r="X25" s="23"/>
    </row>
    <row r="26">
      <c r="A26" s="31"/>
      <c r="B26" s="31"/>
      <c r="C26" s="31"/>
      <c r="D26" s="27" t="s">
        <v>6</v>
      </c>
      <c r="E26" s="31"/>
      <c r="F26" s="31"/>
      <c r="G26" s="29" t="s">
        <v>95</v>
      </c>
      <c r="H26" s="29"/>
      <c r="I26" s="30" t="str">
        <f>HYPERLINK("[link removed]", "Databricks AI Security Documentation")</f>
        <v>Databricks AI Security Documentation</v>
      </c>
      <c r="J26" s="23"/>
      <c r="K26" s="23"/>
      <c r="L26" s="23"/>
      <c r="M26" s="23"/>
      <c r="N26" s="23"/>
      <c r="O26" s="23"/>
      <c r="P26" s="23"/>
      <c r="Q26" s="23"/>
      <c r="R26" s="23"/>
      <c r="S26" s="23"/>
      <c r="T26" s="23"/>
      <c r="U26" s="23"/>
      <c r="V26" s="23"/>
      <c r="W26" s="23"/>
      <c r="X26" s="23"/>
    </row>
    <row r="27">
      <c r="A27" s="31"/>
      <c r="B27" s="31"/>
      <c r="C27" s="31"/>
      <c r="D27" s="27" t="s">
        <v>6</v>
      </c>
      <c r="E27" s="31"/>
      <c r="F27" s="31"/>
      <c r="G27" s="29" t="s">
        <v>96</v>
      </c>
      <c r="H27" s="29"/>
      <c r="I27" s="30" t="str">
        <f>HYPERLINK("https://docs.smith.langchain.com/", "LangSmith Documentation")</f>
        <v>LangSmith Documentation</v>
      </c>
      <c r="J27" s="23"/>
      <c r="K27" s="23"/>
      <c r="L27" s="23"/>
      <c r="M27" s="23"/>
      <c r="N27" s="23"/>
      <c r="O27" s="23"/>
      <c r="P27" s="23"/>
      <c r="Q27" s="23"/>
      <c r="R27" s="23"/>
      <c r="S27" s="23"/>
      <c r="T27" s="23"/>
      <c r="U27" s="23"/>
      <c r="V27" s="23"/>
      <c r="W27" s="23"/>
      <c r="X27" s="23"/>
    </row>
    <row r="28">
      <c r="A28" s="31"/>
      <c r="B28" s="31"/>
      <c r="C28" s="31"/>
      <c r="D28" s="27" t="s">
        <v>6</v>
      </c>
      <c r="E28" s="31"/>
      <c r="F28" s="31"/>
      <c r="G28" s="29" t="s">
        <v>97</v>
      </c>
      <c r="H28" s="29"/>
      <c r="I28" s="30" t="str">
        <f>HYPERLINK("https://fastapi.tiangolo.com/", "FastAPI Documentation; Docker Documentation")</f>
        <v>FastAPI Documentation; Docker Documentation</v>
      </c>
      <c r="J28" s="23"/>
      <c r="K28" s="23"/>
      <c r="L28" s="23"/>
      <c r="M28" s="23"/>
      <c r="N28" s="23"/>
      <c r="O28" s="23"/>
      <c r="P28" s="23"/>
      <c r="Q28" s="23"/>
      <c r="R28" s="23"/>
      <c r="S28" s="23"/>
      <c r="T28" s="23"/>
      <c r="U28" s="23"/>
      <c r="V28" s="23"/>
      <c r="W28" s="23"/>
      <c r="X28" s="23"/>
    </row>
    <row r="29">
      <c r="A29" s="31"/>
      <c r="B29" s="31"/>
      <c r="C29" s="31"/>
      <c r="D29" s="27" t="s">
        <v>5</v>
      </c>
      <c r="E29" s="31"/>
      <c r="F29" s="31"/>
      <c r="G29" s="29" t="s">
        <v>98</v>
      </c>
      <c r="H29" s="29"/>
      <c r="I29" s="30" t="str">
        <f>HYPERLINK("[link removed]", "Coursera Generative AI Ethics Resources")</f>
        <v>Coursera Generative AI Ethics Resources</v>
      </c>
      <c r="J29" s="23"/>
      <c r="K29" s="23"/>
      <c r="L29" s="23"/>
      <c r="M29" s="23"/>
      <c r="N29" s="23"/>
      <c r="O29" s="23"/>
      <c r="P29" s="23"/>
      <c r="Q29" s="23"/>
      <c r="R29" s="23"/>
      <c r="S29" s="23"/>
      <c r="T29" s="23"/>
      <c r="U29" s="23"/>
      <c r="V29" s="23"/>
      <c r="W29" s="23"/>
      <c r="X29" s="23"/>
    </row>
    <row r="30">
      <c r="A30" s="9"/>
      <c r="B30" s="9"/>
      <c r="C30" s="9"/>
      <c r="D30" s="27" t="s">
        <v>5</v>
      </c>
      <c r="E30" s="9"/>
      <c r="F30" s="9"/>
      <c r="G30" s="29" t="s">
        <v>99</v>
      </c>
      <c r="H30" s="29" t="s">
        <v>100</v>
      </c>
      <c r="I30" s="30" t="str">
        <f>HYPERLINK("[link removed]", "Scaler LLM Roadmap 2026")</f>
        <v>Scaler LLM Roadmap 2026</v>
      </c>
      <c r="J30" s="23"/>
      <c r="K30" s="23"/>
      <c r="L30" s="23"/>
      <c r="M30" s="23"/>
      <c r="N30" s="23"/>
      <c r="O30" s="23"/>
      <c r="P30" s="23"/>
      <c r="Q30" s="23"/>
      <c r="R30" s="23"/>
      <c r="S30" s="23"/>
      <c r="T30" s="23"/>
      <c r="U30" s="23"/>
      <c r="V30" s="23"/>
      <c r="W30" s="23"/>
      <c r="X30" s="23"/>
    </row>
    <row r="31">
      <c r="A31" s="23"/>
      <c r="B31" s="23"/>
      <c r="C31" s="23"/>
      <c r="D31" s="23"/>
      <c r="E31" s="23"/>
      <c r="F31" s="23"/>
      <c r="G31" s="23"/>
      <c r="H31" s="23"/>
      <c r="I31" s="23"/>
      <c r="J31" s="23"/>
      <c r="K31" s="23"/>
      <c r="L31" s="23"/>
      <c r="M31" s="23"/>
      <c r="N31" s="23"/>
      <c r="O31" s="23"/>
      <c r="P31" s="23"/>
      <c r="Q31" s="23"/>
      <c r="R31" s="23"/>
      <c r="S31" s="23"/>
      <c r="T31" s="23"/>
      <c r="U31" s="23"/>
      <c r="V31" s="23"/>
      <c r="W31" s="23"/>
      <c r="X31" s="23"/>
    </row>
    <row r="32">
      <c r="A32" s="23"/>
      <c r="B32" s="23"/>
      <c r="C32" s="23"/>
      <c r="D32" s="23"/>
      <c r="E32" s="23"/>
      <c r="F32" s="23"/>
      <c r="G32" s="23"/>
      <c r="H32" s="23"/>
      <c r="I32" s="23"/>
      <c r="J32" s="23"/>
      <c r="K32" s="23"/>
      <c r="L32" s="23"/>
      <c r="M32" s="23"/>
      <c r="N32" s="23"/>
      <c r="O32" s="23"/>
      <c r="P32" s="23"/>
      <c r="Q32" s="23"/>
      <c r="R32" s="23"/>
      <c r="S32" s="23"/>
      <c r="T32" s="23"/>
      <c r="U32" s="23"/>
      <c r="V32" s="23"/>
      <c r="W32" s="23"/>
      <c r="X32" s="23"/>
    </row>
    <row r="33">
      <c r="A33" s="23"/>
      <c r="B33" s="23"/>
      <c r="C33" s="23"/>
      <c r="D33" s="23"/>
      <c r="E33" s="23"/>
      <c r="F33" s="23"/>
      <c r="G33" s="23"/>
      <c r="H33" s="23"/>
      <c r="I33" s="23"/>
      <c r="J33" s="23"/>
      <c r="K33" s="23"/>
      <c r="L33" s="23"/>
      <c r="M33" s="23"/>
      <c r="N33" s="23"/>
      <c r="O33" s="23"/>
      <c r="P33" s="23"/>
      <c r="Q33" s="23"/>
      <c r="R33" s="23"/>
      <c r="S33" s="23"/>
      <c r="T33" s="23"/>
      <c r="U33" s="23"/>
      <c r="V33" s="23"/>
      <c r="W33" s="23"/>
      <c r="X33" s="23"/>
    </row>
    <row r="34">
      <c r="A34" s="23"/>
      <c r="B34" s="23"/>
      <c r="C34" s="23"/>
      <c r="D34" s="23"/>
      <c r="E34" s="23"/>
      <c r="F34" s="23"/>
      <c r="G34" s="23"/>
      <c r="H34" s="23"/>
      <c r="I34" s="23"/>
      <c r="J34" s="23"/>
      <c r="K34" s="23"/>
      <c r="L34" s="23"/>
      <c r="M34" s="23"/>
      <c r="N34" s="23"/>
      <c r="O34" s="23"/>
      <c r="P34" s="23"/>
      <c r="Q34" s="23"/>
      <c r="R34" s="23"/>
      <c r="S34" s="23"/>
      <c r="T34" s="23"/>
      <c r="U34" s="23"/>
      <c r="V34" s="23"/>
      <c r="W34" s="23"/>
      <c r="X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sheetData>
  <mergeCells count="28">
    <mergeCell ref="C1:C2"/>
    <mergeCell ref="B7:B11"/>
    <mergeCell ref="C7:C11"/>
    <mergeCell ref="B25:B30"/>
    <mergeCell ref="C25:C30"/>
    <mergeCell ref="E25:E30"/>
    <mergeCell ref="F25:F30"/>
    <mergeCell ref="A1:A2"/>
    <mergeCell ref="D1:D2"/>
    <mergeCell ref="E1:G1"/>
    <mergeCell ref="H1:H2"/>
    <mergeCell ref="I1:I2"/>
    <mergeCell ref="A3:A30"/>
    <mergeCell ref="F3:F6"/>
    <mergeCell ref="B1:B2"/>
    <mergeCell ref="B3:B6"/>
    <mergeCell ref="C3:C6"/>
    <mergeCell ref="E3:E6"/>
    <mergeCell ref="E7:E11"/>
    <mergeCell ref="F7:F11"/>
    <mergeCell ref="B12:B18"/>
    <mergeCell ref="C12:C18"/>
    <mergeCell ref="E12:E18"/>
    <mergeCell ref="F12:F18"/>
    <mergeCell ref="B19:B24"/>
    <mergeCell ref="C19:C24"/>
    <mergeCell ref="E19:E24"/>
    <mergeCell ref="F19:F2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1.63"/>
    <col customWidth="1" min="2" max="2" width="18.0"/>
    <col customWidth="1" min="3" max="3" width="6.75"/>
    <col customWidth="1" min="4" max="5" width="7.25"/>
    <col customWidth="1" min="6" max="6" width="20.63"/>
    <col customWidth="1" min="7" max="7" width="27.63"/>
    <col customWidth="1" min="8" max="8" width="47.0"/>
    <col customWidth="1" min="9" max="9" width="42.38"/>
    <col customWidth="1" min="10" max="10" width="13.88"/>
    <col customWidth="1" min="11" max="11" width="11.5"/>
  </cols>
  <sheetData>
    <row r="1">
      <c r="A1" s="32" t="s">
        <v>38</v>
      </c>
      <c r="B1" s="32" t="s">
        <v>39</v>
      </c>
      <c r="C1" s="32" t="s">
        <v>40</v>
      </c>
      <c r="D1" s="32" t="s">
        <v>41</v>
      </c>
      <c r="E1" s="33" t="s">
        <v>42</v>
      </c>
      <c r="F1" s="4"/>
      <c r="G1" s="4"/>
      <c r="H1" s="5"/>
      <c r="I1" s="34" t="s">
        <v>101</v>
      </c>
      <c r="J1" s="32" t="s">
        <v>43</v>
      </c>
      <c r="K1" s="32" t="s">
        <v>44</v>
      </c>
      <c r="L1" s="1"/>
      <c r="M1" s="1"/>
      <c r="N1" s="1"/>
      <c r="O1" s="1"/>
      <c r="P1" s="1"/>
      <c r="Q1" s="1"/>
      <c r="R1" s="1"/>
      <c r="S1" s="1"/>
      <c r="T1" s="1"/>
      <c r="U1" s="1"/>
      <c r="V1" s="1"/>
      <c r="W1" s="1"/>
      <c r="X1" s="1"/>
      <c r="Y1" s="1"/>
      <c r="Z1" s="1"/>
      <c r="AA1" s="1"/>
      <c r="AB1" s="1"/>
    </row>
    <row r="2">
      <c r="A2" s="9"/>
      <c r="B2" s="9"/>
      <c r="C2" s="9"/>
      <c r="D2" s="9"/>
      <c r="E2" s="35" t="s">
        <v>45</v>
      </c>
      <c r="F2" s="35" t="s">
        <v>46</v>
      </c>
      <c r="G2" s="36" t="s">
        <v>102</v>
      </c>
      <c r="H2" s="37" t="s">
        <v>103</v>
      </c>
      <c r="I2" s="9"/>
      <c r="J2" s="9"/>
      <c r="K2" s="9"/>
      <c r="L2" s="1"/>
      <c r="M2" s="1"/>
      <c r="N2" s="1"/>
      <c r="O2" s="1"/>
      <c r="P2" s="1"/>
      <c r="Q2" s="1"/>
      <c r="R2" s="1"/>
      <c r="S2" s="1"/>
      <c r="T2" s="1"/>
      <c r="U2" s="1"/>
      <c r="V2" s="1"/>
      <c r="W2" s="1"/>
      <c r="X2" s="1"/>
      <c r="Y2" s="1"/>
      <c r="Z2" s="1"/>
      <c r="AA2" s="1"/>
      <c r="AB2" s="1"/>
    </row>
    <row r="3">
      <c r="A3" s="26" t="s">
        <v>4</v>
      </c>
      <c r="B3" s="26" t="s">
        <v>48</v>
      </c>
      <c r="C3" s="26" t="s">
        <v>49</v>
      </c>
      <c r="D3" s="38" t="s">
        <v>5</v>
      </c>
      <c r="E3" s="26">
        <v>1.0</v>
      </c>
      <c r="F3" s="26" t="s">
        <v>104</v>
      </c>
      <c r="G3" s="29" t="s">
        <v>51</v>
      </c>
      <c r="H3" s="29" t="s">
        <v>105</v>
      </c>
      <c r="I3" s="38" t="s">
        <v>106</v>
      </c>
      <c r="J3" s="29" t="s">
        <v>52</v>
      </c>
      <c r="K3" s="30" t="str">
        <f>HYPERLINK("https://python.langchain.com/docs/", "LangChain/LangGraph Documentation")</f>
        <v>LangChain/LangGraph Documentation</v>
      </c>
      <c r="L3" s="1"/>
      <c r="M3" s="1"/>
      <c r="N3" s="1"/>
      <c r="O3" s="1"/>
      <c r="P3" s="1"/>
      <c r="Q3" s="1"/>
      <c r="R3" s="1"/>
      <c r="S3" s="1"/>
      <c r="T3" s="1"/>
      <c r="U3" s="1"/>
      <c r="V3" s="1"/>
      <c r="W3" s="1"/>
      <c r="X3" s="1"/>
      <c r="Y3" s="1"/>
      <c r="Z3" s="1"/>
      <c r="AA3" s="1"/>
      <c r="AB3" s="1"/>
    </row>
    <row r="4">
      <c r="A4" s="31"/>
      <c r="B4" s="31"/>
      <c r="C4" s="31"/>
      <c r="D4" s="38" t="s">
        <v>5</v>
      </c>
      <c r="E4" s="31"/>
      <c r="F4" s="31"/>
      <c r="G4" s="29" t="s">
        <v>53</v>
      </c>
      <c r="H4" s="29" t="s">
        <v>107</v>
      </c>
      <c r="I4" s="38" t="s">
        <v>108</v>
      </c>
      <c r="J4" s="29" t="s">
        <v>54</v>
      </c>
      <c r="K4" s="30" t="str">
        <f>HYPERLINK("https://platform.openai.com/docs/", "OpenAI Documentation")</f>
        <v>OpenAI Documentation</v>
      </c>
      <c r="L4" s="1"/>
      <c r="M4" s="1"/>
      <c r="N4" s="1"/>
      <c r="O4" s="1"/>
      <c r="P4" s="1"/>
      <c r="Q4" s="1"/>
      <c r="R4" s="1"/>
      <c r="S4" s="1"/>
      <c r="T4" s="1"/>
      <c r="U4" s="1"/>
      <c r="V4" s="1"/>
      <c r="W4" s="1"/>
      <c r="X4" s="1"/>
      <c r="Y4" s="1"/>
      <c r="Z4" s="1"/>
      <c r="AA4" s="1"/>
      <c r="AB4" s="1"/>
    </row>
    <row r="5">
      <c r="A5" s="31"/>
      <c r="B5" s="31"/>
      <c r="C5" s="31"/>
      <c r="D5" s="38" t="s">
        <v>5</v>
      </c>
      <c r="E5" s="31"/>
      <c r="F5" s="31"/>
      <c r="G5" s="29" t="s">
        <v>55</v>
      </c>
      <c r="H5" s="29" t="s">
        <v>109</v>
      </c>
      <c r="I5" s="39"/>
      <c r="J5" s="29"/>
      <c r="K5" s="30" t="str">
        <f>HYPERLINK("https://huggingface.co/docs", "Hugging Face Documentation")</f>
        <v>Hugging Face Documentation</v>
      </c>
      <c r="L5" s="1"/>
      <c r="M5" s="1"/>
      <c r="N5" s="1"/>
      <c r="O5" s="1"/>
      <c r="P5" s="1"/>
      <c r="Q5" s="1"/>
      <c r="R5" s="1"/>
      <c r="S5" s="1"/>
      <c r="T5" s="1"/>
      <c r="U5" s="1"/>
      <c r="V5" s="1"/>
      <c r="W5" s="1"/>
      <c r="X5" s="1"/>
      <c r="Y5" s="1"/>
      <c r="Z5" s="1"/>
      <c r="AA5" s="1"/>
      <c r="AB5" s="1"/>
    </row>
    <row r="6">
      <c r="A6" s="31"/>
      <c r="B6" s="9"/>
      <c r="C6" s="9"/>
      <c r="D6" s="38" t="s">
        <v>6</v>
      </c>
      <c r="E6" s="9"/>
      <c r="F6" s="9"/>
      <c r="G6" s="29" t="s">
        <v>56</v>
      </c>
      <c r="H6" s="29" t="s">
        <v>110</v>
      </c>
      <c r="I6" s="39"/>
      <c r="J6" s="29"/>
      <c r="K6" s="30" t="str">
        <f>HYPERLINK("https://github.com/ollama/ollama/tree/main/docs", "Ollama Documentation")</f>
        <v>Ollama Documentation</v>
      </c>
      <c r="L6" s="1"/>
      <c r="M6" s="1"/>
      <c r="N6" s="1"/>
      <c r="O6" s="1"/>
      <c r="P6" s="1"/>
      <c r="Q6" s="1"/>
      <c r="R6" s="1"/>
      <c r="S6" s="1"/>
      <c r="T6" s="1"/>
      <c r="U6" s="1"/>
      <c r="V6" s="1"/>
      <c r="W6" s="1"/>
      <c r="X6" s="1"/>
      <c r="Y6" s="1"/>
      <c r="Z6" s="1"/>
      <c r="AA6" s="1"/>
      <c r="AB6" s="1"/>
    </row>
    <row r="7">
      <c r="A7" s="31"/>
      <c r="B7" s="26" t="s">
        <v>57</v>
      </c>
      <c r="C7" s="26" t="s">
        <v>58</v>
      </c>
      <c r="D7" s="38" t="s">
        <v>5</v>
      </c>
      <c r="E7" s="26">
        <v>2.0</v>
      </c>
      <c r="F7" s="26" t="s">
        <v>111</v>
      </c>
      <c r="G7" s="29" t="s">
        <v>60</v>
      </c>
      <c r="H7" s="29" t="s">
        <v>112</v>
      </c>
      <c r="I7" s="38" t="s">
        <v>113</v>
      </c>
      <c r="J7" s="29" t="s">
        <v>61</v>
      </c>
      <c r="K7" s="30" t="str">
        <f>HYPERLINK("https://platform.openai.com/docs/api-reference", "OpenAI API Documentation")</f>
        <v>OpenAI API Documentation</v>
      </c>
      <c r="L7" s="1"/>
      <c r="M7" s="1"/>
      <c r="N7" s="1"/>
      <c r="O7" s="1"/>
      <c r="P7" s="1"/>
      <c r="Q7" s="1"/>
      <c r="R7" s="1"/>
      <c r="S7" s="1"/>
      <c r="T7" s="1"/>
      <c r="U7" s="1"/>
      <c r="V7" s="1"/>
      <c r="W7" s="1"/>
      <c r="X7" s="1"/>
      <c r="Y7" s="1"/>
      <c r="Z7" s="1"/>
      <c r="AA7" s="1"/>
      <c r="AB7" s="1"/>
    </row>
    <row r="8">
      <c r="A8" s="31"/>
      <c r="B8" s="31"/>
      <c r="C8" s="31"/>
      <c r="D8" s="38" t="s">
        <v>6</v>
      </c>
      <c r="E8" s="31"/>
      <c r="F8" s="31"/>
      <c r="G8" s="29" t="s">
        <v>62</v>
      </c>
      <c r="H8" s="29" t="s">
        <v>114</v>
      </c>
      <c r="I8" s="38" t="s">
        <v>115</v>
      </c>
      <c r="J8" s="29"/>
      <c r="K8" s="30" t="str">
        <f>HYPERLINK("https://ai.google.dev/docs", "Google Gemini API Documentation")</f>
        <v>Google Gemini API Documentation</v>
      </c>
      <c r="L8" s="1"/>
      <c r="M8" s="1"/>
      <c r="N8" s="1"/>
      <c r="O8" s="1"/>
      <c r="P8" s="1"/>
      <c r="Q8" s="1"/>
      <c r="R8" s="1"/>
      <c r="S8" s="1"/>
      <c r="T8" s="1"/>
      <c r="U8" s="1"/>
      <c r="V8" s="1"/>
      <c r="W8" s="1"/>
      <c r="X8" s="1"/>
      <c r="Y8" s="1"/>
      <c r="Z8" s="1"/>
      <c r="AA8" s="1"/>
      <c r="AB8" s="1"/>
    </row>
    <row r="9">
      <c r="A9" s="31"/>
      <c r="B9" s="31"/>
      <c r="C9" s="31"/>
      <c r="D9" s="38" t="s">
        <v>5</v>
      </c>
      <c r="E9" s="31"/>
      <c r="F9" s="31"/>
      <c r="G9" s="29" t="s">
        <v>63</v>
      </c>
      <c r="H9" s="29" t="s">
        <v>116</v>
      </c>
      <c r="I9" s="38" t="s">
        <v>117</v>
      </c>
      <c r="J9" s="29"/>
      <c r="K9" s="30" t="str">
        <f>HYPERLINK("https://platform.openai.com/docs/guides/function-calling", "OpenAI Function Calling Documentation")</f>
        <v>OpenAI Function Calling Documentation</v>
      </c>
      <c r="L9" s="1"/>
      <c r="M9" s="1"/>
      <c r="N9" s="1"/>
      <c r="O9" s="1"/>
      <c r="P9" s="1"/>
      <c r="Q9" s="1"/>
      <c r="R9" s="1"/>
      <c r="S9" s="1"/>
      <c r="T9" s="1"/>
      <c r="U9" s="1"/>
      <c r="V9" s="1"/>
      <c r="W9" s="1"/>
      <c r="X9" s="1"/>
      <c r="Y9" s="1"/>
      <c r="Z9" s="1"/>
      <c r="AA9" s="1"/>
      <c r="AB9" s="1"/>
    </row>
    <row r="10">
      <c r="A10" s="31"/>
      <c r="B10" s="31"/>
      <c r="C10" s="31"/>
      <c r="D10" s="38" t="s">
        <v>6</v>
      </c>
      <c r="E10" s="31"/>
      <c r="F10" s="31"/>
      <c r="G10" s="29" t="s">
        <v>64</v>
      </c>
      <c r="H10" s="29" t="s">
        <v>118</v>
      </c>
      <c r="I10" s="39"/>
      <c r="J10" s="29" t="s">
        <v>65</v>
      </c>
      <c r="K10" s="30" t="str">
        <f>HYPERLINK("https://ai.google.dev/docs", "Google Gemini API Documentation")</f>
        <v>Google Gemini API Documentation</v>
      </c>
      <c r="L10" s="1"/>
      <c r="M10" s="1"/>
      <c r="N10" s="1"/>
      <c r="O10" s="1"/>
      <c r="P10" s="1"/>
      <c r="Q10" s="1"/>
      <c r="R10" s="1"/>
      <c r="S10" s="1"/>
      <c r="T10" s="1"/>
      <c r="U10" s="1"/>
      <c r="V10" s="1"/>
      <c r="W10" s="1"/>
      <c r="X10" s="1"/>
      <c r="Y10" s="1"/>
      <c r="Z10" s="1"/>
      <c r="AA10" s="1"/>
      <c r="AB10" s="1"/>
    </row>
    <row r="11">
      <c r="A11" s="31"/>
      <c r="B11" s="9"/>
      <c r="C11" s="9"/>
      <c r="D11" s="38" t="s">
        <v>6</v>
      </c>
      <c r="E11" s="9"/>
      <c r="F11" s="9"/>
      <c r="G11" s="29" t="s">
        <v>66</v>
      </c>
      <c r="H11" s="29" t="s">
        <v>119</v>
      </c>
      <c r="I11" s="39"/>
      <c r="J11" s="29"/>
      <c r="K11" s="30" t="str">
        <f>HYPERLINK("https://docs.streamlit.io/", "Streamlit Documentation")</f>
        <v>Streamlit Documentation</v>
      </c>
      <c r="L11" s="1"/>
      <c r="M11" s="1"/>
      <c r="N11" s="1"/>
      <c r="O11" s="1"/>
      <c r="P11" s="1"/>
      <c r="Q11" s="1"/>
      <c r="R11" s="1"/>
      <c r="S11" s="1"/>
      <c r="T11" s="1"/>
      <c r="U11" s="1"/>
      <c r="V11" s="1"/>
      <c r="W11" s="1"/>
      <c r="X11" s="1"/>
      <c r="Y11" s="1"/>
      <c r="Z11" s="1"/>
      <c r="AA11" s="1"/>
      <c r="AB11" s="1"/>
    </row>
    <row r="12">
      <c r="A12" s="31"/>
      <c r="B12" s="26" t="s">
        <v>67</v>
      </c>
      <c r="C12" s="26" t="s">
        <v>68</v>
      </c>
      <c r="D12" s="38" t="s">
        <v>5</v>
      </c>
      <c r="E12" s="26">
        <v>3.0</v>
      </c>
      <c r="F12" s="26" t="s">
        <v>120</v>
      </c>
      <c r="G12" s="29" t="s">
        <v>70</v>
      </c>
      <c r="H12" s="29" t="s">
        <v>121</v>
      </c>
      <c r="I12" s="38" t="s">
        <v>122</v>
      </c>
      <c r="J12" s="29" t="s">
        <v>71</v>
      </c>
      <c r="K12" s="30" t="str">
        <f>HYPERLINK("https://learn.activeloop.ai/", "Activeloop RAG Course")</f>
        <v>Activeloop RAG Course</v>
      </c>
      <c r="L12" s="1"/>
      <c r="M12" s="1"/>
      <c r="N12" s="1"/>
      <c r="O12" s="1"/>
      <c r="P12" s="1"/>
      <c r="Q12" s="1"/>
      <c r="R12" s="1"/>
      <c r="S12" s="1"/>
      <c r="T12" s="1"/>
      <c r="U12" s="1"/>
      <c r="V12" s="1"/>
      <c r="W12" s="1"/>
      <c r="X12" s="1"/>
      <c r="Y12" s="1"/>
      <c r="Z12" s="1"/>
      <c r="AA12" s="1"/>
      <c r="AB12" s="1"/>
    </row>
    <row r="13">
      <c r="A13" s="31"/>
      <c r="B13" s="31"/>
      <c r="C13" s="31"/>
      <c r="D13" s="38" t="s">
        <v>5</v>
      </c>
      <c r="E13" s="31"/>
      <c r="F13" s="31"/>
      <c r="G13" s="29" t="s">
        <v>72</v>
      </c>
      <c r="H13" s="29" t="s">
        <v>123</v>
      </c>
      <c r="I13" s="38" t="s">
        <v>124</v>
      </c>
      <c r="J13" s="29" t="s">
        <v>73</v>
      </c>
      <c r="K13" s="30" t="str">
        <f>HYPERLINK("https://docs.llamaindex.ai/", "LlamaIndex Documentation")</f>
        <v>LlamaIndex Documentation</v>
      </c>
      <c r="L13" s="1"/>
      <c r="M13" s="1"/>
      <c r="N13" s="1"/>
      <c r="O13" s="1"/>
      <c r="P13" s="1"/>
      <c r="Q13" s="1"/>
      <c r="R13" s="1"/>
      <c r="S13" s="1"/>
      <c r="T13" s="1"/>
      <c r="U13" s="1"/>
      <c r="V13" s="1"/>
      <c r="W13" s="1"/>
      <c r="X13" s="1"/>
      <c r="Y13" s="1"/>
      <c r="Z13" s="1"/>
      <c r="AA13" s="1"/>
      <c r="AB13" s="1"/>
    </row>
    <row r="14">
      <c r="A14" s="31"/>
      <c r="B14" s="31"/>
      <c r="C14" s="31"/>
      <c r="D14" s="38" t="s">
        <v>6</v>
      </c>
      <c r="E14" s="31"/>
      <c r="F14" s="31"/>
      <c r="G14" s="29" t="s">
        <v>74</v>
      </c>
      <c r="H14" s="29" t="s">
        <v>125</v>
      </c>
      <c r="I14" s="38" t="s">
        <v>126</v>
      </c>
      <c r="J14" s="29"/>
      <c r="K14" s="30" t="str">
        <f>HYPERLINK("https://python.langchain.com/docs/", "LangChain Documentation")</f>
        <v>LangChain Documentation</v>
      </c>
      <c r="L14" s="1"/>
      <c r="M14" s="1"/>
      <c r="N14" s="1"/>
      <c r="O14" s="1"/>
      <c r="P14" s="1"/>
      <c r="Q14" s="1"/>
      <c r="R14" s="1"/>
      <c r="S14" s="1"/>
      <c r="T14" s="1"/>
      <c r="U14" s="1"/>
      <c r="V14" s="1"/>
      <c r="W14" s="1"/>
      <c r="X14" s="1"/>
      <c r="Y14" s="1"/>
      <c r="Z14" s="1"/>
      <c r="AA14" s="1"/>
      <c r="AB14" s="1"/>
    </row>
    <row r="15">
      <c r="A15" s="31"/>
      <c r="B15" s="31"/>
      <c r="C15" s="31"/>
      <c r="D15" s="38" t="s">
        <v>6</v>
      </c>
      <c r="E15" s="31"/>
      <c r="F15" s="31"/>
      <c r="G15" s="29" t="s">
        <v>75</v>
      </c>
      <c r="H15" s="29" t="s">
        <v>127</v>
      </c>
      <c r="I15" s="39"/>
      <c r="J15" s="29"/>
      <c r="K15" s="30" t="str">
        <f>HYPERLINK("https://docs.pinecone.io/", "Pinecone Documentation")</f>
        <v>Pinecone Documentation</v>
      </c>
      <c r="L15" s="1"/>
      <c r="M15" s="1"/>
      <c r="N15" s="1"/>
      <c r="O15" s="1"/>
      <c r="P15" s="1"/>
      <c r="Q15" s="1"/>
      <c r="R15" s="1"/>
      <c r="S15" s="1"/>
      <c r="T15" s="1"/>
      <c r="U15" s="1"/>
      <c r="V15" s="1"/>
      <c r="W15" s="1"/>
      <c r="X15" s="1"/>
      <c r="Y15" s="1"/>
      <c r="Z15" s="1"/>
      <c r="AA15" s="1"/>
      <c r="AB15" s="1"/>
    </row>
    <row r="16">
      <c r="A16" s="31"/>
      <c r="B16" s="31"/>
      <c r="C16" s="31"/>
      <c r="D16" s="38" t="s">
        <v>5</v>
      </c>
      <c r="E16" s="31"/>
      <c r="F16" s="31"/>
      <c r="G16" s="29" t="s">
        <v>76</v>
      </c>
      <c r="H16" s="29" t="s">
        <v>128</v>
      </c>
      <c r="I16" s="39"/>
      <c r="J16" s="29"/>
      <c r="K16" s="30" t="str">
        <f>HYPERLINK("https://github.com/facebookresearch/faiss/wiki", "FAISS Documentation")</f>
        <v>FAISS Documentation</v>
      </c>
      <c r="L16" s="1"/>
      <c r="M16" s="1"/>
      <c r="N16" s="1"/>
      <c r="O16" s="1"/>
      <c r="P16" s="1"/>
      <c r="Q16" s="1"/>
      <c r="R16" s="1"/>
      <c r="S16" s="1"/>
      <c r="T16" s="1"/>
      <c r="U16" s="1"/>
      <c r="V16" s="1"/>
      <c r="W16" s="1"/>
      <c r="X16" s="1"/>
      <c r="Y16" s="1"/>
      <c r="Z16" s="1"/>
      <c r="AA16" s="1"/>
      <c r="AB16" s="1"/>
    </row>
    <row r="17">
      <c r="A17" s="31"/>
      <c r="B17" s="31"/>
      <c r="C17" s="31"/>
      <c r="D17" s="38" t="s">
        <v>5</v>
      </c>
      <c r="E17" s="31"/>
      <c r="F17" s="31"/>
      <c r="G17" s="29" t="s">
        <v>77</v>
      </c>
      <c r="H17" s="29" t="s">
        <v>129</v>
      </c>
      <c r="I17" s="39"/>
      <c r="J17" s="29"/>
      <c r="K17" s="30" t="str">
        <f>HYPERLINK("https://docs.llamaindex.ai/", "LlamaIndex Documentation")</f>
        <v>LlamaIndex Documentation</v>
      </c>
      <c r="L17" s="1"/>
      <c r="M17" s="1"/>
      <c r="N17" s="1"/>
      <c r="O17" s="1"/>
      <c r="P17" s="1"/>
      <c r="Q17" s="1"/>
      <c r="R17" s="1"/>
      <c r="S17" s="1"/>
      <c r="T17" s="1"/>
      <c r="U17" s="1"/>
      <c r="V17" s="1"/>
      <c r="W17" s="1"/>
      <c r="X17" s="1"/>
      <c r="Y17" s="1"/>
      <c r="Z17" s="1"/>
      <c r="AA17" s="1"/>
      <c r="AB17" s="1"/>
    </row>
    <row r="18">
      <c r="A18" s="31"/>
      <c r="B18" s="9"/>
      <c r="C18" s="9"/>
      <c r="D18" s="38" t="s">
        <v>6</v>
      </c>
      <c r="E18" s="9"/>
      <c r="F18" s="9"/>
      <c r="G18" s="29" t="s">
        <v>78</v>
      </c>
      <c r="H18" s="29" t="s">
        <v>130</v>
      </c>
      <c r="I18" s="39"/>
      <c r="J18" s="29"/>
      <c r="K18" s="30" t="str">
        <f>HYPERLINK("[link removed]", "LangChain Evaluation Documentation")</f>
        <v>LangChain Evaluation Documentation</v>
      </c>
      <c r="L18" s="1"/>
      <c r="M18" s="1"/>
      <c r="N18" s="1"/>
      <c r="O18" s="1"/>
      <c r="P18" s="1"/>
      <c r="Q18" s="1"/>
      <c r="R18" s="1"/>
      <c r="S18" s="1"/>
      <c r="T18" s="1"/>
      <c r="U18" s="1"/>
      <c r="V18" s="1"/>
      <c r="W18" s="1"/>
      <c r="X18" s="1"/>
      <c r="Y18" s="1"/>
      <c r="Z18" s="1"/>
      <c r="AA18" s="1"/>
      <c r="AB18" s="1"/>
    </row>
    <row r="19">
      <c r="A19" s="31"/>
      <c r="B19" s="26" t="s">
        <v>79</v>
      </c>
      <c r="C19" s="26" t="s">
        <v>80</v>
      </c>
      <c r="D19" s="38" t="s">
        <v>5</v>
      </c>
      <c r="E19" s="26">
        <v>4.0</v>
      </c>
      <c r="F19" s="26" t="s">
        <v>131</v>
      </c>
      <c r="G19" s="29" t="s">
        <v>82</v>
      </c>
      <c r="H19" s="29" t="s">
        <v>132</v>
      </c>
      <c r="I19" s="38" t="s">
        <v>133</v>
      </c>
      <c r="J19" s="29" t="s">
        <v>83</v>
      </c>
      <c r="K19" s="30" t="str">
        <f>HYPERLINK("https://langchain-ai.github.io/langgraph/", "LangGraph Documentation")</f>
        <v>LangGraph Documentation</v>
      </c>
      <c r="L19" s="1"/>
      <c r="M19" s="1"/>
      <c r="N19" s="1"/>
      <c r="O19" s="1"/>
      <c r="P19" s="1"/>
      <c r="Q19" s="1"/>
      <c r="R19" s="1"/>
      <c r="S19" s="1"/>
      <c r="T19" s="1"/>
      <c r="U19" s="1"/>
      <c r="V19" s="1"/>
      <c r="W19" s="1"/>
      <c r="X19" s="1"/>
      <c r="Y19" s="1"/>
      <c r="Z19" s="1"/>
      <c r="AA19" s="1"/>
      <c r="AB19" s="1"/>
    </row>
    <row r="20">
      <c r="A20" s="31"/>
      <c r="B20" s="31"/>
      <c r="C20" s="31"/>
      <c r="D20" s="38" t="s">
        <v>6</v>
      </c>
      <c r="E20" s="31"/>
      <c r="F20" s="31"/>
      <c r="G20" s="29" t="s">
        <v>84</v>
      </c>
      <c r="H20" s="29" t="s">
        <v>134</v>
      </c>
      <c r="I20" s="38" t="s">
        <v>135</v>
      </c>
      <c r="J20" s="29"/>
      <c r="K20" s="30" t="str">
        <f>HYPERLINK("https://platform.openai.com/docs/guides/function-calling", "OpenAI Function Calling Documentation")</f>
        <v>OpenAI Function Calling Documentation</v>
      </c>
      <c r="L20" s="1"/>
      <c r="M20" s="1"/>
      <c r="N20" s="1"/>
      <c r="O20" s="1"/>
      <c r="P20" s="1"/>
      <c r="Q20" s="1"/>
      <c r="R20" s="1"/>
      <c r="S20" s="1"/>
      <c r="T20" s="1"/>
      <c r="U20" s="1"/>
      <c r="V20" s="1"/>
      <c r="W20" s="1"/>
      <c r="X20" s="1"/>
      <c r="Y20" s="1"/>
      <c r="Z20" s="1"/>
      <c r="AA20" s="1"/>
      <c r="AB20" s="1"/>
    </row>
    <row r="21">
      <c r="A21" s="31"/>
      <c r="B21" s="31"/>
      <c r="C21" s="31"/>
      <c r="D21" s="38" t="s">
        <v>5</v>
      </c>
      <c r="E21" s="31"/>
      <c r="F21" s="31"/>
      <c r="G21" s="29" t="s">
        <v>85</v>
      </c>
      <c r="H21" s="29" t="s">
        <v>136</v>
      </c>
      <c r="I21" s="38" t="s">
        <v>137</v>
      </c>
      <c r="J21" s="29"/>
      <c r="K21" s="30" t="str">
        <f>HYPERLINK("[link removed]", "LangChain Memory Documentation")</f>
        <v>LangChain Memory Documentation</v>
      </c>
      <c r="L21" s="1"/>
      <c r="M21" s="1"/>
      <c r="N21" s="1"/>
      <c r="O21" s="1"/>
      <c r="P21" s="1"/>
      <c r="Q21" s="1"/>
      <c r="R21" s="1"/>
      <c r="S21" s="1"/>
      <c r="T21" s="1"/>
      <c r="U21" s="1"/>
      <c r="V21" s="1"/>
      <c r="W21" s="1"/>
      <c r="X21" s="1"/>
      <c r="Y21" s="1"/>
      <c r="Z21" s="1"/>
      <c r="AA21" s="1"/>
      <c r="AB21" s="1"/>
    </row>
    <row r="22">
      <c r="A22" s="31"/>
      <c r="B22" s="31"/>
      <c r="C22" s="31"/>
      <c r="D22" s="38" t="s">
        <v>6</v>
      </c>
      <c r="E22" s="31"/>
      <c r="F22" s="31"/>
      <c r="G22" s="29" t="s">
        <v>86</v>
      </c>
      <c r="H22" s="29" t="s">
        <v>138</v>
      </c>
      <c r="I22" s="39"/>
      <c r="J22" s="29"/>
      <c r="K22" s="30" t="str">
        <f>HYPERLINK("https://langchain-ai.github.io/langgraph/", "LangGraph Documentation")</f>
        <v>LangGraph Documentation</v>
      </c>
      <c r="L22" s="1"/>
      <c r="M22" s="1"/>
      <c r="N22" s="1"/>
      <c r="O22" s="1"/>
      <c r="P22" s="1"/>
      <c r="Q22" s="1"/>
      <c r="R22" s="1"/>
      <c r="S22" s="1"/>
      <c r="T22" s="1"/>
      <c r="U22" s="1"/>
      <c r="V22" s="1"/>
      <c r="W22" s="1"/>
      <c r="X22" s="1"/>
      <c r="Y22" s="1"/>
      <c r="Z22" s="1"/>
      <c r="AA22" s="1"/>
      <c r="AB22" s="1"/>
    </row>
    <row r="23">
      <c r="A23" s="31"/>
      <c r="B23" s="31"/>
      <c r="C23" s="31"/>
      <c r="D23" s="38" t="s">
        <v>6</v>
      </c>
      <c r="E23" s="31"/>
      <c r="F23" s="31"/>
      <c r="G23" s="29" t="s">
        <v>87</v>
      </c>
      <c r="H23" s="29" t="s">
        <v>139</v>
      </c>
      <c r="I23" s="39"/>
      <c r="J23" s="29"/>
      <c r="K23" s="30" t="str">
        <f>HYPERLINK("https://langchain-ai.github.io/langgraph/tutorials/multi_agent/multi-agent-collaboration/", "LangGraph Multi-Agent Documentation")</f>
        <v>LangGraph Multi-Agent Documentation</v>
      </c>
      <c r="L23" s="1"/>
      <c r="M23" s="1"/>
      <c r="N23" s="1"/>
      <c r="O23" s="1"/>
      <c r="P23" s="1"/>
      <c r="Q23" s="1"/>
      <c r="R23" s="1"/>
      <c r="S23" s="1"/>
      <c r="T23" s="1"/>
      <c r="U23" s="1"/>
      <c r="V23" s="1"/>
      <c r="W23" s="1"/>
      <c r="X23" s="1"/>
      <c r="Y23" s="1"/>
      <c r="Z23" s="1"/>
      <c r="AA23" s="1"/>
      <c r="AB23" s="1"/>
    </row>
    <row r="24">
      <c r="A24" s="31"/>
      <c r="B24" s="9"/>
      <c r="C24" s="9"/>
      <c r="D24" s="38" t="s">
        <v>5</v>
      </c>
      <c r="E24" s="9"/>
      <c r="F24" s="9"/>
      <c r="G24" s="29" t="s">
        <v>88</v>
      </c>
      <c r="H24" s="29" t="s">
        <v>140</v>
      </c>
      <c r="I24" s="39"/>
      <c r="J24" s="29" t="s">
        <v>89</v>
      </c>
      <c r="K24" s="30" t="str">
        <f>HYPERLINK("https://docs.anthropic.com/en/docs/mcp", "Anthropic MCP Documentation; Google Cloud MCP Guide")</f>
        <v>Anthropic MCP Documentation; Google Cloud MCP Guide</v>
      </c>
      <c r="L24" s="1"/>
      <c r="M24" s="1"/>
      <c r="N24" s="1"/>
      <c r="O24" s="1"/>
      <c r="P24" s="1"/>
      <c r="Q24" s="1"/>
      <c r="R24" s="1"/>
      <c r="S24" s="1"/>
      <c r="T24" s="1"/>
      <c r="U24" s="1"/>
      <c r="V24" s="1"/>
      <c r="W24" s="1"/>
      <c r="X24" s="1"/>
      <c r="Y24" s="1"/>
      <c r="Z24" s="1"/>
      <c r="AA24" s="1"/>
      <c r="AB24" s="1"/>
    </row>
    <row r="25">
      <c r="A25" s="31"/>
      <c r="B25" s="26" t="s">
        <v>90</v>
      </c>
      <c r="C25" s="26" t="s">
        <v>91</v>
      </c>
      <c r="D25" s="38" t="s">
        <v>5</v>
      </c>
      <c r="E25" s="26">
        <v>5.0</v>
      </c>
      <c r="F25" s="26" t="s">
        <v>141</v>
      </c>
      <c r="G25" s="29" t="s">
        <v>93</v>
      </c>
      <c r="H25" s="29" t="s">
        <v>142</v>
      </c>
      <c r="I25" s="38" t="s">
        <v>143</v>
      </c>
      <c r="J25" s="29" t="s">
        <v>94</v>
      </c>
      <c r="K25" s="30" t="str">
        <f>HYPERLINK("[link removed]", "LangChain Use Case Documentation")</f>
        <v>LangChain Use Case Documentation</v>
      </c>
      <c r="L25" s="1"/>
      <c r="M25" s="1"/>
      <c r="N25" s="1"/>
      <c r="O25" s="1"/>
      <c r="P25" s="1"/>
      <c r="Q25" s="1"/>
      <c r="R25" s="1"/>
      <c r="S25" s="1"/>
      <c r="T25" s="1"/>
      <c r="U25" s="1"/>
      <c r="V25" s="1"/>
      <c r="W25" s="1"/>
      <c r="X25" s="1"/>
      <c r="Y25" s="1"/>
      <c r="Z25" s="1"/>
      <c r="AA25" s="1"/>
      <c r="AB25" s="1"/>
    </row>
    <row r="26">
      <c r="A26" s="31"/>
      <c r="B26" s="31"/>
      <c r="C26" s="31"/>
      <c r="D26" s="38" t="s">
        <v>6</v>
      </c>
      <c r="E26" s="31"/>
      <c r="F26" s="31"/>
      <c r="G26" s="29" t="s">
        <v>95</v>
      </c>
      <c r="H26" s="29" t="s">
        <v>144</v>
      </c>
      <c r="I26" s="38" t="s">
        <v>145</v>
      </c>
      <c r="J26" s="29"/>
      <c r="K26" s="30" t="str">
        <f>HYPERLINK("[link removed]", "Databricks AI Security Documentation")</f>
        <v>Databricks AI Security Documentation</v>
      </c>
      <c r="L26" s="1"/>
      <c r="M26" s="1"/>
      <c r="N26" s="1"/>
      <c r="O26" s="1"/>
      <c r="P26" s="1"/>
      <c r="Q26" s="1"/>
      <c r="R26" s="1"/>
      <c r="S26" s="1"/>
      <c r="T26" s="1"/>
      <c r="U26" s="1"/>
      <c r="V26" s="1"/>
      <c r="W26" s="1"/>
      <c r="X26" s="1"/>
      <c r="Y26" s="1"/>
      <c r="Z26" s="1"/>
      <c r="AA26" s="1"/>
      <c r="AB26" s="1"/>
    </row>
    <row r="27">
      <c r="A27" s="31"/>
      <c r="B27" s="31"/>
      <c r="C27" s="31"/>
      <c r="D27" s="38" t="s">
        <v>6</v>
      </c>
      <c r="E27" s="31"/>
      <c r="F27" s="31"/>
      <c r="G27" s="29" t="s">
        <v>96</v>
      </c>
      <c r="H27" s="29" t="s">
        <v>146</v>
      </c>
      <c r="I27" s="38" t="s">
        <v>147</v>
      </c>
      <c r="J27" s="29"/>
      <c r="K27" s="30" t="str">
        <f>HYPERLINK("https://docs.smith.langchain.com/", "LangSmith Documentation")</f>
        <v>LangSmith Documentation</v>
      </c>
      <c r="L27" s="1"/>
      <c r="M27" s="1"/>
      <c r="N27" s="1"/>
      <c r="O27" s="1"/>
      <c r="P27" s="1"/>
      <c r="Q27" s="1"/>
      <c r="R27" s="1"/>
      <c r="S27" s="1"/>
      <c r="T27" s="1"/>
      <c r="U27" s="1"/>
      <c r="V27" s="1"/>
      <c r="W27" s="1"/>
      <c r="X27" s="1"/>
      <c r="Y27" s="1"/>
      <c r="Z27" s="1"/>
      <c r="AA27" s="1"/>
      <c r="AB27" s="1"/>
    </row>
    <row r="28">
      <c r="A28" s="31"/>
      <c r="B28" s="31"/>
      <c r="C28" s="31"/>
      <c r="D28" s="38" t="s">
        <v>6</v>
      </c>
      <c r="E28" s="31"/>
      <c r="F28" s="31"/>
      <c r="G28" s="29" t="s">
        <v>97</v>
      </c>
      <c r="H28" s="29" t="s">
        <v>148</v>
      </c>
      <c r="I28" s="38" t="s">
        <v>149</v>
      </c>
      <c r="J28" s="29"/>
      <c r="K28" s="30" t="str">
        <f>HYPERLINK("https://fastapi.tiangolo.com/", "FastAPI Documentation; Docker Documentation")</f>
        <v>FastAPI Documentation; Docker Documentation</v>
      </c>
      <c r="L28" s="1"/>
      <c r="M28" s="1"/>
      <c r="N28" s="1"/>
      <c r="O28" s="1"/>
      <c r="P28" s="1"/>
      <c r="Q28" s="1"/>
      <c r="R28" s="1"/>
      <c r="S28" s="1"/>
      <c r="T28" s="1"/>
      <c r="U28" s="1"/>
      <c r="V28" s="1"/>
      <c r="W28" s="1"/>
      <c r="X28" s="1"/>
      <c r="Y28" s="1"/>
      <c r="Z28" s="1"/>
      <c r="AA28" s="1"/>
      <c r="AB28" s="1"/>
    </row>
    <row r="29">
      <c r="A29" s="31"/>
      <c r="B29" s="31"/>
      <c r="C29" s="31"/>
      <c r="D29" s="38" t="s">
        <v>5</v>
      </c>
      <c r="E29" s="31"/>
      <c r="F29" s="31"/>
      <c r="G29" s="29" t="s">
        <v>98</v>
      </c>
      <c r="H29" s="29" t="s">
        <v>150</v>
      </c>
      <c r="I29" s="39"/>
      <c r="J29" s="29"/>
      <c r="K29" s="30" t="str">
        <f>HYPERLINK("[link removed]", "Coursera Generative AI Ethics Resources")</f>
        <v>Coursera Generative AI Ethics Resources</v>
      </c>
      <c r="L29" s="1"/>
      <c r="M29" s="1"/>
      <c r="N29" s="1"/>
      <c r="O29" s="1"/>
      <c r="P29" s="1"/>
      <c r="Q29" s="1"/>
      <c r="R29" s="1"/>
      <c r="S29" s="1"/>
      <c r="T29" s="1"/>
      <c r="U29" s="1"/>
      <c r="V29" s="1"/>
      <c r="W29" s="1"/>
      <c r="X29" s="1"/>
      <c r="Y29" s="1"/>
      <c r="Z29" s="1"/>
      <c r="AA29" s="1"/>
      <c r="AB29" s="1"/>
    </row>
    <row r="30">
      <c r="A30" s="9"/>
      <c r="B30" s="9"/>
      <c r="C30" s="9"/>
      <c r="D30" s="38" t="s">
        <v>5</v>
      </c>
      <c r="E30" s="9"/>
      <c r="F30" s="9"/>
      <c r="G30" s="29" t="s">
        <v>99</v>
      </c>
      <c r="H30" s="29" t="s">
        <v>151</v>
      </c>
      <c r="I30" s="39"/>
      <c r="J30" s="29" t="s">
        <v>100</v>
      </c>
      <c r="K30" s="30" t="str">
        <f>HYPERLINK("[link removed]", "Scaler LLM Roadmap 2026")</f>
        <v>Scaler LLM Roadmap 2026</v>
      </c>
      <c r="L30" s="1"/>
      <c r="M30" s="1"/>
      <c r="N30" s="1"/>
      <c r="O30" s="1"/>
      <c r="P30" s="1"/>
      <c r="Q30" s="1"/>
      <c r="R30" s="1"/>
      <c r="S30" s="1"/>
      <c r="T30" s="1"/>
      <c r="U30" s="1"/>
      <c r="V30" s="1"/>
      <c r="W30" s="1"/>
      <c r="X30" s="1"/>
      <c r="Y30" s="1"/>
      <c r="Z30" s="1"/>
      <c r="AA30" s="1"/>
      <c r="AB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sheetData>
  <mergeCells count="29">
    <mergeCell ref="B1:B2"/>
    <mergeCell ref="C1:C2"/>
    <mergeCell ref="D1:D2"/>
    <mergeCell ref="E1:H1"/>
    <mergeCell ref="I1:I2"/>
    <mergeCell ref="J1:J2"/>
    <mergeCell ref="K1:K2"/>
    <mergeCell ref="B12:B18"/>
    <mergeCell ref="B19:B24"/>
    <mergeCell ref="C19:C24"/>
    <mergeCell ref="B25:B30"/>
    <mergeCell ref="C25:C30"/>
    <mergeCell ref="A1:A2"/>
    <mergeCell ref="A3:A30"/>
    <mergeCell ref="B3:B6"/>
    <mergeCell ref="C3:C6"/>
    <mergeCell ref="B7:B11"/>
    <mergeCell ref="C7:C11"/>
    <mergeCell ref="C12:C18"/>
    <mergeCell ref="E19:E24"/>
    <mergeCell ref="E25:E30"/>
    <mergeCell ref="E3:E6"/>
    <mergeCell ref="F3:F6"/>
    <mergeCell ref="E7:E11"/>
    <mergeCell ref="F7:F11"/>
    <mergeCell ref="E12:E18"/>
    <mergeCell ref="F12:F18"/>
    <mergeCell ref="F19:F24"/>
    <mergeCell ref="F25:F3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5" max="5" width="38.38"/>
    <col customWidth="1" min="6" max="6" width="53.88"/>
    <col customWidth="1" min="7" max="7" width="50.25"/>
    <col customWidth="1" min="8" max="8" width="37.88"/>
  </cols>
  <sheetData>
    <row r="1">
      <c r="A1" s="40" t="s">
        <v>152</v>
      </c>
      <c r="B1" s="40" t="s">
        <v>153</v>
      </c>
      <c r="C1" s="40" t="s">
        <v>154</v>
      </c>
      <c r="D1" s="40" t="s">
        <v>155</v>
      </c>
      <c r="E1" s="40" t="s">
        <v>156</v>
      </c>
      <c r="F1" s="40" t="s">
        <v>157</v>
      </c>
      <c r="G1" s="40" t="s">
        <v>158</v>
      </c>
      <c r="H1" s="40" t="s">
        <v>159</v>
      </c>
    </row>
    <row r="2">
      <c r="A2" s="41">
        <v>1.0</v>
      </c>
      <c r="B2" s="41">
        <v>1.0</v>
      </c>
      <c r="C2" s="41" t="s">
        <v>49</v>
      </c>
      <c r="D2" s="41" t="s">
        <v>160</v>
      </c>
      <c r="E2" s="41" t="s">
        <v>161</v>
      </c>
      <c r="F2" s="41" t="s">
        <v>162</v>
      </c>
      <c r="G2" s="41" t="s">
        <v>163</v>
      </c>
      <c r="H2" s="41" t="s">
        <v>164</v>
      </c>
    </row>
    <row r="3">
      <c r="A3" s="41">
        <v>2.0</v>
      </c>
      <c r="B3" s="41">
        <v>1.0</v>
      </c>
      <c r="C3" s="41" t="s">
        <v>49</v>
      </c>
      <c r="D3" s="41" t="s">
        <v>165</v>
      </c>
      <c r="E3" s="41" t="s">
        <v>166</v>
      </c>
      <c r="F3" s="41" t="s">
        <v>167</v>
      </c>
      <c r="G3" s="41" t="s">
        <v>168</v>
      </c>
      <c r="H3" s="41" t="s">
        <v>169</v>
      </c>
    </row>
    <row r="4">
      <c r="A4" s="41">
        <v>3.0</v>
      </c>
      <c r="B4" s="41">
        <v>2.0</v>
      </c>
      <c r="C4" s="41" t="s">
        <v>58</v>
      </c>
      <c r="D4" s="41" t="s">
        <v>170</v>
      </c>
      <c r="E4" s="41" t="s">
        <v>171</v>
      </c>
      <c r="F4" s="41" t="s">
        <v>172</v>
      </c>
      <c r="G4" s="41" t="s">
        <v>173</v>
      </c>
      <c r="H4" s="41" t="s">
        <v>174</v>
      </c>
    </row>
    <row r="5">
      <c r="A5" s="41">
        <v>4.0</v>
      </c>
      <c r="B5" s="41">
        <v>2.0</v>
      </c>
      <c r="C5" s="41" t="s">
        <v>58</v>
      </c>
      <c r="D5" s="41" t="s">
        <v>175</v>
      </c>
      <c r="E5" s="41" t="s">
        <v>176</v>
      </c>
      <c r="F5" s="41" t="s">
        <v>177</v>
      </c>
      <c r="G5" s="41" t="s">
        <v>178</v>
      </c>
      <c r="H5" s="41" t="s">
        <v>179</v>
      </c>
    </row>
    <row r="6">
      <c r="A6" s="41">
        <v>5.0</v>
      </c>
      <c r="B6" s="41">
        <v>2.0</v>
      </c>
      <c r="C6" s="41" t="s">
        <v>58</v>
      </c>
      <c r="D6" s="41" t="s">
        <v>180</v>
      </c>
      <c r="E6" s="41" t="s">
        <v>181</v>
      </c>
      <c r="F6" s="41" t="s">
        <v>182</v>
      </c>
      <c r="G6" s="41" t="s">
        <v>183</v>
      </c>
      <c r="H6" s="41" t="s">
        <v>184</v>
      </c>
    </row>
    <row r="7">
      <c r="A7" s="41">
        <v>6.0</v>
      </c>
      <c r="B7" s="41">
        <v>3.0</v>
      </c>
      <c r="C7" s="41" t="s">
        <v>68</v>
      </c>
      <c r="D7" s="41" t="s">
        <v>185</v>
      </c>
      <c r="E7" s="41" t="s">
        <v>186</v>
      </c>
      <c r="F7" s="41" t="s">
        <v>187</v>
      </c>
      <c r="G7" s="41" t="s">
        <v>188</v>
      </c>
      <c r="H7" s="41" t="s">
        <v>189</v>
      </c>
    </row>
    <row r="8">
      <c r="A8" s="41">
        <v>7.0</v>
      </c>
      <c r="B8" s="41">
        <v>3.0</v>
      </c>
      <c r="C8" s="41" t="s">
        <v>68</v>
      </c>
      <c r="D8" s="41" t="s">
        <v>190</v>
      </c>
      <c r="E8" s="41" t="s">
        <v>191</v>
      </c>
      <c r="F8" s="41" t="s">
        <v>192</v>
      </c>
      <c r="G8" s="41" t="s">
        <v>193</v>
      </c>
      <c r="H8" s="41" t="s">
        <v>194</v>
      </c>
    </row>
    <row r="9">
      <c r="A9" s="41">
        <v>8.0</v>
      </c>
      <c r="B9" s="41">
        <v>2.0</v>
      </c>
      <c r="C9" s="41" t="s">
        <v>68</v>
      </c>
      <c r="D9" s="41" t="s">
        <v>195</v>
      </c>
      <c r="E9" s="41" t="s">
        <v>196</v>
      </c>
      <c r="F9" s="41" t="s">
        <v>197</v>
      </c>
      <c r="G9" s="41" t="s">
        <v>198</v>
      </c>
      <c r="H9" s="41" t="s">
        <v>199</v>
      </c>
    </row>
    <row r="10">
      <c r="A10" s="41">
        <v>9.0</v>
      </c>
      <c r="B10" s="41">
        <v>2.0</v>
      </c>
      <c r="C10" s="41" t="s">
        <v>80</v>
      </c>
      <c r="D10" s="41" t="s">
        <v>200</v>
      </c>
      <c r="E10" s="41" t="s">
        <v>201</v>
      </c>
      <c r="F10" s="41" t="s">
        <v>202</v>
      </c>
      <c r="G10" s="41" t="s">
        <v>203</v>
      </c>
      <c r="H10" s="41" t="s">
        <v>204</v>
      </c>
    </row>
    <row r="11">
      <c r="A11" s="41">
        <v>10.0</v>
      </c>
      <c r="B11" s="41">
        <v>2.0</v>
      </c>
      <c r="C11" s="41" t="s">
        <v>80</v>
      </c>
      <c r="D11" s="41" t="s">
        <v>205</v>
      </c>
      <c r="E11" s="41" t="s">
        <v>206</v>
      </c>
      <c r="F11" s="41" t="s">
        <v>207</v>
      </c>
      <c r="G11" s="41" t="s">
        <v>208</v>
      </c>
      <c r="H11" s="41" t="s">
        <v>209</v>
      </c>
    </row>
    <row r="12">
      <c r="A12" s="41">
        <v>11.0</v>
      </c>
      <c r="B12" s="41">
        <v>2.0</v>
      </c>
      <c r="C12" s="41" t="s">
        <v>80</v>
      </c>
      <c r="D12" s="41" t="s">
        <v>210</v>
      </c>
      <c r="E12" s="41" t="s">
        <v>211</v>
      </c>
      <c r="F12" s="41" t="s">
        <v>212</v>
      </c>
      <c r="G12" s="41" t="s">
        <v>213</v>
      </c>
      <c r="H12" s="41" t="s">
        <v>214</v>
      </c>
    </row>
    <row r="13">
      <c r="A13" s="41">
        <v>12.0</v>
      </c>
      <c r="B13" s="41">
        <v>2.0</v>
      </c>
      <c r="C13" s="41" t="s">
        <v>215</v>
      </c>
      <c r="D13" s="41" t="s">
        <v>216</v>
      </c>
      <c r="E13" s="41" t="s">
        <v>217</v>
      </c>
      <c r="F13" s="41" t="s">
        <v>218</v>
      </c>
      <c r="G13" s="41" t="s">
        <v>219</v>
      </c>
      <c r="H13" s="41" t="s">
        <v>220</v>
      </c>
    </row>
    <row r="14">
      <c r="A14" s="41">
        <v>13.0</v>
      </c>
      <c r="B14" s="41">
        <v>2.0</v>
      </c>
      <c r="C14" s="41" t="s">
        <v>215</v>
      </c>
      <c r="D14" s="41" t="s">
        <v>221</v>
      </c>
      <c r="E14" s="41" t="s">
        <v>222</v>
      </c>
      <c r="F14" s="41" t="s">
        <v>223</v>
      </c>
      <c r="G14" s="41" t="s">
        <v>224</v>
      </c>
      <c r="H14" s="41" t="s">
        <v>225</v>
      </c>
    </row>
    <row r="15">
      <c r="A15" s="41">
        <v>14.0</v>
      </c>
      <c r="B15" s="41">
        <v>2.0</v>
      </c>
      <c r="C15" s="41" t="s">
        <v>226</v>
      </c>
      <c r="D15" s="41" t="s">
        <v>227</v>
      </c>
      <c r="E15" s="41" t="s">
        <v>228</v>
      </c>
      <c r="F15" s="41" t="s">
        <v>229</v>
      </c>
      <c r="G15" s="41" t="s">
        <v>230</v>
      </c>
      <c r="H15" s="41" t="s">
        <v>231</v>
      </c>
    </row>
    <row r="16">
      <c r="A16" s="41">
        <v>15.0</v>
      </c>
      <c r="B16" s="41">
        <v>2.0</v>
      </c>
      <c r="C16" s="41" t="s">
        <v>226</v>
      </c>
      <c r="D16" s="41" t="s">
        <v>232</v>
      </c>
      <c r="E16" s="41" t="s">
        <v>233</v>
      </c>
      <c r="F16" s="41" t="s">
        <v>234</v>
      </c>
      <c r="G16" s="41" t="s">
        <v>235</v>
      </c>
      <c r="H16" s="41" t="s">
        <v>236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23.63"/>
    <col customWidth="1" min="3" max="4" width="26.75"/>
    <col customWidth="1" min="5" max="5" width="33.63"/>
    <col customWidth="1" min="6" max="6" width="10.63"/>
  </cols>
  <sheetData>
    <row r="1">
      <c r="A1" s="42" t="s">
        <v>152</v>
      </c>
      <c r="B1" s="43" t="s">
        <v>237</v>
      </c>
      <c r="C1" s="43" t="s">
        <v>238</v>
      </c>
      <c r="D1" s="43" t="s">
        <v>239</v>
      </c>
      <c r="E1" s="43" t="s">
        <v>18</v>
      </c>
      <c r="F1" s="43" t="s">
        <v>240</v>
      </c>
      <c r="G1" s="23"/>
      <c r="H1" s="23"/>
      <c r="I1" s="23"/>
      <c r="J1" s="23"/>
      <c r="K1" s="23"/>
      <c r="L1" s="23"/>
      <c r="M1" s="23"/>
      <c r="N1" s="23"/>
      <c r="O1" s="23"/>
      <c r="P1" s="23"/>
      <c r="Q1" s="23"/>
      <c r="R1" s="23"/>
      <c r="S1" s="23"/>
      <c r="T1" s="23"/>
      <c r="U1" s="23"/>
      <c r="V1" s="23"/>
      <c r="W1" s="23"/>
      <c r="X1" s="23"/>
      <c r="Y1" s="23"/>
      <c r="Z1" s="23"/>
    </row>
    <row r="2">
      <c r="A2" s="41">
        <v>1.0</v>
      </c>
      <c r="B2" s="41" t="s">
        <v>241</v>
      </c>
      <c r="C2" s="41" t="s">
        <v>242</v>
      </c>
      <c r="D2" s="41" t="s">
        <v>243</v>
      </c>
      <c r="E2" s="41" t="s">
        <v>244</v>
      </c>
      <c r="F2" s="44" t="s">
        <v>245</v>
      </c>
      <c r="G2" s="23"/>
      <c r="H2" s="23"/>
      <c r="I2" s="23"/>
      <c r="J2" s="23"/>
      <c r="K2" s="23"/>
      <c r="L2" s="23"/>
      <c r="M2" s="23"/>
      <c r="N2" s="23"/>
      <c r="O2" s="23"/>
      <c r="P2" s="23"/>
      <c r="Q2" s="23"/>
      <c r="R2" s="23"/>
      <c r="S2" s="23"/>
      <c r="T2" s="23"/>
      <c r="U2" s="23"/>
      <c r="V2" s="23"/>
      <c r="W2" s="23"/>
      <c r="X2" s="23"/>
      <c r="Y2" s="23"/>
      <c r="Z2" s="23"/>
    </row>
    <row r="3">
      <c r="A3" s="41">
        <v>2.0</v>
      </c>
      <c r="B3" s="41" t="s">
        <v>246</v>
      </c>
      <c r="C3" s="41" t="s">
        <v>247</v>
      </c>
      <c r="D3" s="41" t="s">
        <v>248</v>
      </c>
      <c r="E3" s="41" t="s">
        <v>249</v>
      </c>
      <c r="F3" s="44" t="s">
        <v>250</v>
      </c>
      <c r="G3" s="23"/>
      <c r="H3" s="23"/>
      <c r="I3" s="23"/>
      <c r="J3" s="23"/>
      <c r="K3" s="23"/>
      <c r="L3" s="23"/>
      <c r="M3" s="23"/>
      <c r="N3" s="23"/>
      <c r="O3" s="23"/>
      <c r="P3" s="23"/>
      <c r="Q3" s="23"/>
      <c r="R3" s="23"/>
      <c r="S3" s="23"/>
      <c r="T3" s="23"/>
      <c r="U3" s="23"/>
      <c r="V3" s="23"/>
      <c r="W3" s="23"/>
      <c r="X3" s="23"/>
      <c r="Y3" s="23"/>
      <c r="Z3" s="23"/>
    </row>
    <row r="4">
      <c r="A4" s="23"/>
      <c r="B4" s="23"/>
      <c r="C4" s="23"/>
      <c r="D4" s="23"/>
      <c r="E4" s="23"/>
      <c r="F4" s="23"/>
      <c r="G4" s="23"/>
      <c r="H4" s="23"/>
      <c r="I4" s="23"/>
      <c r="J4" s="23"/>
      <c r="K4" s="23"/>
      <c r="L4" s="23"/>
      <c r="M4" s="23"/>
      <c r="N4" s="23"/>
      <c r="O4" s="23"/>
      <c r="P4" s="23"/>
      <c r="Q4" s="23"/>
      <c r="R4" s="23"/>
      <c r="S4" s="23"/>
      <c r="T4" s="23"/>
      <c r="U4" s="23"/>
      <c r="V4" s="23"/>
      <c r="W4" s="23"/>
      <c r="X4" s="23"/>
      <c r="Y4" s="23"/>
      <c r="Z4" s="23"/>
    </row>
    <row r="5">
      <c r="A5" s="23"/>
      <c r="B5" s="23"/>
      <c r="C5" s="23"/>
      <c r="D5" s="23"/>
      <c r="E5" s="23"/>
      <c r="F5" s="23"/>
      <c r="G5" s="23"/>
      <c r="H5" s="23"/>
      <c r="I5" s="23"/>
      <c r="J5" s="23"/>
      <c r="K5" s="23"/>
      <c r="L5" s="23"/>
      <c r="M5" s="23"/>
      <c r="N5" s="23"/>
      <c r="O5" s="23"/>
      <c r="P5" s="23"/>
      <c r="Q5" s="23"/>
      <c r="R5" s="23"/>
      <c r="S5" s="23"/>
      <c r="T5" s="23"/>
      <c r="U5" s="23"/>
      <c r="V5" s="23"/>
      <c r="W5" s="23"/>
      <c r="X5" s="23"/>
      <c r="Y5" s="23"/>
      <c r="Z5" s="23"/>
    </row>
    <row r="6">
      <c r="A6" s="23"/>
      <c r="B6" s="23"/>
      <c r="C6" s="23"/>
      <c r="D6" s="23"/>
      <c r="E6" s="23"/>
      <c r="F6" s="23"/>
      <c r="G6" s="23"/>
      <c r="H6" s="23"/>
      <c r="I6" s="23"/>
      <c r="J6" s="23"/>
      <c r="K6" s="23"/>
      <c r="L6" s="23"/>
      <c r="M6" s="23"/>
      <c r="N6" s="23"/>
      <c r="O6" s="23"/>
      <c r="P6" s="23"/>
      <c r="Q6" s="23"/>
      <c r="R6" s="23"/>
      <c r="S6" s="23"/>
      <c r="T6" s="23"/>
      <c r="U6" s="23"/>
      <c r="V6" s="23"/>
      <c r="W6" s="23"/>
      <c r="X6" s="23"/>
      <c r="Y6" s="23"/>
      <c r="Z6" s="23"/>
    </row>
    <row r="7">
      <c r="A7" s="23"/>
      <c r="B7" s="23"/>
      <c r="C7" s="23"/>
      <c r="D7" s="23"/>
      <c r="E7" s="23"/>
      <c r="F7" s="23"/>
      <c r="G7" s="23"/>
      <c r="H7" s="23"/>
      <c r="I7" s="23"/>
      <c r="J7" s="23"/>
      <c r="K7" s="23"/>
      <c r="L7" s="23"/>
      <c r="M7" s="23"/>
      <c r="N7" s="23"/>
      <c r="O7" s="23"/>
      <c r="P7" s="23"/>
      <c r="Q7" s="23"/>
      <c r="R7" s="23"/>
      <c r="S7" s="23"/>
      <c r="T7" s="23"/>
      <c r="U7" s="23"/>
      <c r="V7" s="23"/>
      <c r="W7" s="23"/>
      <c r="X7" s="23"/>
      <c r="Y7" s="23"/>
      <c r="Z7" s="23"/>
    </row>
    <row r="8">
      <c r="A8" s="23"/>
      <c r="B8" s="23"/>
      <c r="C8" s="23"/>
      <c r="D8" s="23"/>
      <c r="E8" s="23"/>
      <c r="F8" s="23"/>
      <c r="G8" s="23"/>
      <c r="H8" s="23"/>
      <c r="I8" s="23"/>
      <c r="J8" s="23"/>
      <c r="K8" s="23"/>
      <c r="L8" s="23"/>
      <c r="M8" s="23"/>
      <c r="N8" s="23"/>
      <c r="O8" s="23"/>
      <c r="P8" s="23"/>
      <c r="Q8" s="23"/>
      <c r="R8" s="23"/>
      <c r="S8" s="23"/>
      <c r="T8" s="23"/>
      <c r="U8" s="23"/>
      <c r="V8" s="23"/>
      <c r="W8" s="23"/>
      <c r="X8" s="23"/>
      <c r="Y8" s="23"/>
      <c r="Z8" s="23"/>
    </row>
    <row r="9">
      <c r="A9" s="23"/>
      <c r="B9" s="23"/>
      <c r="C9" s="23"/>
      <c r="D9" s="23"/>
      <c r="E9" s="23"/>
      <c r="F9" s="23"/>
      <c r="G9" s="23"/>
      <c r="H9" s="23"/>
      <c r="I9" s="23"/>
      <c r="J9" s="23"/>
      <c r="K9" s="23"/>
      <c r="L9" s="23"/>
      <c r="M9" s="23"/>
      <c r="N9" s="23"/>
      <c r="O9" s="23"/>
      <c r="P9" s="23"/>
      <c r="Q9" s="23"/>
      <c r="R9" s="23"/>
      <c r="S9" s="23"/>
      <c r="T9" s="23"/>
      <c r="U9" s="23"/>
      <c r="V9" s="23"/>
      <c r="W9" s="23"/>
      <c r="X9" s="23"/>
      <c r="Y9" s="23"/>
      <c r="Z9" s="23"/>
    </row>
    <row r="10">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sheetData>
  <hyperlinks>
    <hyperlink r:id="rId1" ref="F2"/>
    <hyperlink r:id="rId2" ref="F3"/>
  </hyperlinks>
  <drawing r:id="rId3"/>
</worksheet>
</file>